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رئيسية" sheetId="1" state="visible" r:id="rId1"/>
    <sheet name="الإعدادات" sheetId="2" state="visible" r:id="rId2"/>
    <sheet name="قاعدة الفيلامنت" sheetId="3" state="visible" r:id="rId3"/>
    <sheet name="الحاسبة" sheetId="4" state="visible" r:id="rId4"/>
    <sheet name="سجل المشاريع" sheetId="5" state="visible" r:id="rId5"/>
    <sheet name="لوحة التحكم" sheetId="6" state="visible" r:id="rId6"/>
    <sheet name="فاتورة" sheetId="7" state="visible" r:id="rId7"/>
    <sheet name="المخزون" sheetId="8" state="visible" r:id="rId8"/>
    <sheet name="إحصائيات العملاء" sheetId="9" state="visible" r:id="rId9"/>
  </sheets>
  <definedNames>
    <definedName name="_xlnm.Print_Area" localSheetId="6">'فاتورة'!$A$1:$E$15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.00&quot; ر.س&quot;"/>
    <numFmt numFmtId="165" formatCode="#,##0&quot; واط&quot;"/>
    <numFmt numFmtId="166" formatCode="#,##0.0000"/>
    <numFmt numFmtId="167" formatCode="#,##0.0&quot; ساعة&quot;"/>
    <numFmt numFmtId="168" formatCode="#,##0.00&quot; كجم&quot;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b val="1"/>
      <color rgb="000000FF"/>
      <sz val="11"/>
    </font>
    <font>
      <name val="Arial"/>
      <color rgb="00808080"/>
      <sz val="10"/>
    </font>
    <font>
      <name val="Arial"/>
      <b val="1"/>
      <color rgb="00E8590C"/>
      <sz val="10"/>
    </font>
    <font>
      <name val="Arial"/>
      <b val="1"/>
      <color rgb="00000000"/>
      <sz val="10"/>
    </font>
    <font>
      <name val="Arial"/>
      <color rgb="000000FF"/>
      <sz val="11"/>
    </font>
    <font>
      <name val="Arial"/>
      <b val="1"/>
      <color rgb="00808080"/>
      <sz val="9"/>
    </font>
    <font>
      <name val="Arial"/>
      <color rgb="00808080"/>
      <sz val="9"/>
    </font>
    <font>
      <name val="Arial"/>
      <b val="1"/>
      <color rgb="00FFFFFF"/>
      <sz val="18"/>
    </font>
    <font>
      <name val="Arial"/>
      <b val="1"/>
      <color rgb="00E8590C"/>
      <sz val="11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E8590C"/>
      <sz val="12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A1A1A"/>
      <sz val="16"/>
    </font>
    <font>
      <name val="Arial"/>
      <b val="1"/>
      <color rgb="00FFFFFF"/>
      <sz val="20"/>
    </font>
    <font>
      <name val="Arial"/>
      <b val="1"/>
      <color rgb="00E8590C"/>
      <sz val="13"/>
    </font>
    <font>
      <name val="Arial"/>
      <color rgb="00000000"/>
      <sz val="11"/>
    </font>
    <font>
      <name val="Arial"/>
      <b val="1"/>
      <color rgb="00FFFFFF"/>
      <sz val="24"/>
    </font>
    <font>
      <name val="Arial"/>
      <b val="1"/>
      <color rgb="00FFFFFF"/>
      <sz val="14"/>
    </font>
    <font>
      <name val="Arial"/>
      <b val="1"/>
      <color rgb="001A1A1A"/>
      <sz val="11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8590C"/>
      </patternFill>
    </fill>
    <fill>
      <patternFill patternType="solid">
        <fgColor rgb="00FFF3CD"/>
      </patternFill>
    </fill>
    <fill>
      <patternFill patternType="solid">
        <fgColor rgb="002B2B2B"/>
      </patternFill>
    </fill>
    <fill>
      <patternFill patternType="solid">
        <fgColor rgb="00FDE2C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3" fillId="2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22" fillId="7" borderId="0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165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9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3" fontId="8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4" fontId="15" fillId="0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2" borderId="1" applyAlignment="1" pivotButton="0" quotePrefix="0" xfId="0">
      <alignment horizontal="right" vertical="center" wrapText="1"/>
    </xf>
    <xf numFmtId="164" fontId="16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4" fontId="18" fillId="4" borderId="1" applyAlignment="1" pivotButton="0" quotePrefix="0" xfId="0">
      <alignment horizontal="center" vertical="center" wrapText="1"/>
    </xf>
    <xf numFmtId="4" fontId="12" fillId="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3" fontId="19" fillId="7" borderId="1" applyAlignment="1" pivotButton="0" quotePrefix="0" xfId="0">
      <alignment horizontal="center" vertical="center" wrapText="1"/>
    </xf>
    <xf numFmtId="164" fontId="19" fillId="7" borderId="1" applyAlignment="1" pivotButton="0" quotePrefix="0" xfId="0">
      <alignment horizontal="center" vertical="center" wrapText="1"/>
    </xf>
    <xf numFmtId="167" fontId="19" fillId="7" borderId="1" applyAlignment="1" pivotButton="0" quotePrefix="0" xfId="0">
      <alignment horizontal="center" vertical="center" wrapText="1"/>
    </xf>
    <xf numFmtId="168" fontId="19" fillId="7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164" fontId="13" fillId="3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المبيعات لكل مشروع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'سجل المشاريع'!N2</f>
            </strRef>
          </tx>
          <spPr>
            <a:ln>
              <a:prstDash val="solid"/>
            </a:ln>
          </spPr>
          <cat>
            <numRef>
              <f>'سجل المشاريع'!$D$3:$D$12</f>
            </numRef>
          </cat>
          <val>
            <numRef>
              <f>'سجل المشاريع'!$N$3:$N$12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استهلاك الفيلامنت لكل مشروع</a:t>
            </a:r>
          </a:p>
        </rich>
      </tx>
    </title>
    <plotArea>
      <pieChart>
        <varyColors val="1"/>
        <ser>
          <idx val="0"/>
          <order val="0"/>
          <tx>
            <strRef>
              <f>'سجل المشاريع'!F2</f>
            </strRef>
          </tx>
          <spPr>
            <a:ln>
              <a:prstDash val="solid"/>
            </a:ln>
          </spPr>
          <cat>
            <numRef>
              <f>'سجل المشاريع'!$D$3:$D$12</f>
            </numRef>
          </cat>
          <val>
            <numRef>
              <f>'سجل المشاريع'!$F$3:$F$12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25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2:F25"/>
  <sheetViews>
    <sheetView showGridLines="0"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A2" s="1" t="inlineStr">
        <is>
          <t>🖨️  نظام إدارة الطباعة ثلاثية الأبعاد</t>
        </is>
      </c>
    </row>
    <row r="3"/>
    <row r="4"/>
    <row r="5">
      <c r="A5" s="2" t="inlineStr">
        <is>
          <t>Creality Hi + CFS   |   الإصدار 1.5</t>
        </is>
      </c>
    </row>
    <row r="7" ht="26" customHeight="1">
      <c r="B7" s="3" t="inlineStr">
        <is>
          <t>⚙️ الإعدادات</t>
        </is>
      </c>
      <c r="D7" s="4" t="inlineStr">
        <is>
          <t>اضبط أسعار العمل والكهرباء والربح</t>
        </is>
      </c>
    </row>
    <row r="9" ht="26" customHeight="1">
      <c r="B9" s="3" t="inlineStr">
        <is>
          <t>🧵 قاعدة الفيلامنت</t>
        </is>
      </c>
      <c r="D9" s="4" t="inlineStr">
        <is>
          <t>أضف أنواع وأسعار الفيلامنت</t>
        </is>
      </c>
    </row>
    <row r="11" ht="26" customHeight="1">
      <c r="B11" s="3" t="inlineStr">
        <is>
          <t>🖨️ الحاسبة</t>
        </is>
      </c>
      <c r="D11" s="4" t="inlineStr">
        <is>
          <t>احسب تكلفة أي مطبوعة بدقة</t>
        </is>
      </c>
    </row>
    <row r="13" ht="26" customHeight="1">
      <c r="B13" s="3" t="inlineStr">
        <is>
          <t>📄 فاتورة</t>
        </is>
      </c>
      <c r="D13" s="4" t="inlineStr">
        <is>
          <t>فاتورة جاهزة للطباعة PDF</t>
        </is>
      </c>
    </row>
    <row r="15" ht="26" customHeight="1">
      <c r="B15" s="3" t="inlineStr">
        <is>
          <t>📦 المخزون</t>
        </is>
      </c>
      <c r="D15" s="4" t="inlineStr">
        <is>
          <t>أرصدة الفيلامنت وتنبيهات النقص</t>
        </is>
      </c>
    </row>
    <row r="17" ht="26" customHeight="1">
      <c r="B17" s="3" t="inlineStr">
        <is>
          <t>👥 إحصائيات العملاء</t>
        </is>
      </c>
      <c r="D17" s="4" t="inlineStr">
        <is>
          <t>ربح ومبيعات كل عميل</t>
        </is>
      </c>
    </row>
    <row r="19" ht="26" customHeight="1">
      <c r="B19" s="3" t="inlineStr">
        <is>
          <t>📚 سجل المشاريع</t>
        </is>
      </c>
      <c r="D19" s="4" t="inlineStr">
        <is>
          <t>سجّل مشاريعك وتابعها</t>
        </is>
      </c>
    </row>
    <row r="21" ht="26" customHeight="1">
      <c r="B21" s="3" t="inlineStr">
        <is>
          <t>📊 لوحة التحكم</t>
        </is>
      </c>
      <c r="D21" s="4" t="inlineStr">
        <is>
          <t>إحصائيات وأرباح ورسوم بيانية</t>
        </is>
      </c>
    </row>
    <row r="24">
      <c r="A24" s="5" t="inlineStr">
        <is>
          <t>استخدم التبويبات في الأسفل للتنقل بين الأوراق.  الخلايا الصفراء = إدخال يدوي، والباقي يُحسب تلقائيًا.</t>
        </is>
      </c>
    </row>
    <row r="25"/>
  </sheetData>
  <mergeCells count="19">
    <mergeCell ref="D11:F11"/>
    <mergeCell ref="D13:F13"/>
    <mergeCell ref="B7:C7"/>
    <mergeCell ref="D17:F17"/>
    <mergeCell ref="D7:F7"/>
    <mergeCell ref="B21:C21"/>
    <mergeCell ref="B11:C11"/>
    <mergeCell ref="A5:F5"/>
    <mergeCell ref="D9:F9"/>
    <mergeCell ref="A24:F25"/>
    <mergeCell ref="B17:C17"/>
    <mergeCell ref="A2:F4"/>
    <mergeCell ref="D15:F15"/>
    <mergeCell ref="B13:C13"/>
    <mergeCell ref="B19:C19"/>
    <mergeCell ref="B9:C9"/>
    <mergeCell ref="D19:F19"/>
    <mergeCell ref="B15:C15"/>
    <mergeCell ref="D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590C"/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2" customWidth="1" min="3" max="3"/>
  </cols>
  <sheetData>
    <row r="1" ht="34" customHeight="1">
      <c r="A1" s="6" t="inlineStr">
        <is>
          <t>⚙️  الإعدادات العامة</t>
        </is>
      </c>
    </row>
    <row r="2">
      <c r="A2" s="7" t="inlineStr">
        <is>
          <t>البند</t>
        </is>
      </c>
      <c r="B2" s="7" t="inlineStr">
        <is>
          <t>القيمة</t>
        </is>
      </c>
      <c r="C2" s="7" t="inlineStr">
        <is>
          <t>ملاحظة</t>
        </is>
      </c>
    </row>
    <row r="3">
      <c r="A3" s="8" t="inlineStr">
        <is>
          <t>سعر ساعة العمل (تصميم/تعديل)</t>
        </is>
      </c>
      <c r="B3" s="9" t="n">
        <v>75</v>
      </c>
      <c r="C3" s="10" t="inlineStr">
        <is>
          <t>غيّرها حسب قيمة وقتك</t>
        </is>
      </c>
    </row>
    <row r="4">
      <c r="A4" s="8" t="inlineStr">
        <is>
          <t>سعر كيلوواط ساعة الكهرباء</t>
        </is>
      </c>
      <c r="B4" s="9" t="n">
        <v>0.18</v>
      </c>
      <c r="C4" s="10" t="inlineStr">
        <is>
          <t>متوسط سعر الكهرباء بالسعودية 0.18</t>
        </is>
      </c>
    </row>
    <row r="5">
      <c r="A5" s="8" t="inlineStr">
        <is>
          <t>استهلاك الطابعة (واط)</t>
        </is>
      </c>
      <c r="B5" s="11" t="n">
        <v>150</v>
      </c>
      <c r="C5" s="10" t="inlineStr">
        <is>
          <t>طاقة الطابعة أثناء التشغيل</t>
        </is>
      </c>
    </row>
    <row r="6">
      <c r="A6" s="8" t="inlineStr">
        <is>
          <t>نسبة الإهلاك والصيانة</t>
        </is>
      </c>
      <c r="B6" s="12" t="n">
        <v>0.1</v>
      </c>
      <c r="C6" s="10" t="inlineStr">
        <is>
          <t>تكلفة تقريبية للإهلاك</t>
        </is>
      </c>
    </row>
    <row r="7">
      <c r="A7" s="8" t="inlineStr">
        <is>
          <t>هامش الربح</t>
        </is>
      </c>
      <c r="B7" s="12" t="n">
        <v>0.15</v>
      </c>
      <c r="C7" s="10" t="inlineStr">
        <is>
          <t>الربح المطلوب فوق التكلفة</t>
        </is>
      </c>
    </row>
    <row r="9">
      <c r="A9" s="13" t="inlineStr">
        <is>
          <t>الخلايا الصفراء = إدخال يدوي. باقي الأرقام في البرنامج تُحسب تلقائيًا.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590C"/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3" customWidth="1" min="8" max="8"/>
    <col width="34" customWidth="1" min="9" max="9"/>
  </cols>
  <sheetData>
    <row r="1" ht="34" customHeight="1">
      <c r="A1" s="6" t="inlineStr">
        <is>
          <t>🧵  قاعدة بيانات الفيلامنت</t>
        </is>
      </c>
    </row>
    <row r="2" ht="30" customHeight="1">
      <c r="A2" s="7" t="inlineStr">
        <is>
          <t>#</t>
        </is>
      </c>
      <c r="B2" s="7" t="inlineStr">
        <is>
          <t>النوع</t>
        </is>
      </c>
      <c r="C2" s="7" t="inlineStr">
        <is>
          <t>الشركة</t>
        </is>
      </c>
      <c r="D2" s="7" t="inlineStr">
        <is>
          <t>اللون</t>
        </is>
      </c>
      <c r="E2" s="7" t="inlineStr">
        <is>
          <t>وزن البكرة (جم)</t>
        </is>
      </c>
      <c r="F2" s="7" t="inlineStr">
        <is>
          <t>سعر البكرة (ر.س)</t>
        </is>
      </c>
      <c r="G2" s="7" t="inlineStr">
        <is>
          <t>سعر الجرام (ر.س)</t>
        </is>
      </c>
      <c r="I2" s="14" t="inlineStr">
        <is>
          <t>المفتاح (لا تعدله)</t>
        </is>
      </c>
    </row>
    <row r="3">
      <c r="A3" s="15" t="n">
        <v>1</v>
      </c>
      <c r="B3" s="16" t="inlineStr">
        <is>
          <t>PLA</t>
        </is>
      </c>
      <c r="C3" s="16" t="inlineStr">
        <is>
          <t>Creality</t>
        </is>
      </c>
      <c r="D3" s="16" t="inlineStr">
        <is>
          <t>Black</t>
        </is>
      </c>
      <c r="E3" s="16" t="n">
        <v>1000</v>
      </c>
      <c r="F3" s="16" t="n">
        <v>75</v>
      </c>
      <c r="G3" s="17">
        <f>IF(OR(E3="",F3=""),"",F3/E3)</f>
        <v/>
      </c>
      <c r="I3" s="18">
        <f>IF(B3="","",B3&amp;" - "&amp;C3&amp;" - "&amp;D3)</f>
        <v/>
      </c>
    </row>
    <row r="4">
      <c r="A4" s="15" t="n">
        <v>2</v>
      </c>
      <c r="B4" s="16" t="inlineStr">
        <is>
          <t>PLA</t>
        </is>
      </c>
      <c r="C4" s="16" t="inlineStr">
        <is>
          <t>Creality</t>
        </is>
      </c>
      <c r="D4" s="16" t="inlineStr">
        <is>
          <t>White</t>
        </is>
      </c>
      <c r="E4" s="16" t="n">
        <v>1000</v>
      </c>
      <c r="F4" s="16" t="n">
        <v>75</v>
      </c>
      <c r="G4" s="17">
        <f>IF(OR(E4="",F4=""),"",F4/E4)</f>
        <v/>
      </c>
      <c r="I4" s="18">
        <f>IF(B4="","",B4&amp;" - "&amp;C4&amp;" - "&amp;D4)</f>
        <v/>
      </c>
    </row>
    <row r="5">
      <c r="A5" s="15" t="n">
        <v>3</v>
      </c>
      <c r="B5" s="16" t="inlineStr">
        <is>
          <t>Silk PLA</t>
        </is>
      </c>
      <c r="C5" s="16" t="inlineStr">
        <is>
          <t>eSun</t>
        </is>
      </c>
      <c r="D5" s="16" t="inlineStr">
        <is>
          <t>Copper</t>
        </is>
      </c>
      <c r="E5" s="16" t="n">
        <v>500</v>
      </c>
      <c r="F5" s="16" t="n">
        <v>36</v>
      </c>
      <c r="G5" s="17">
        <f>IF(OR(E5="",F5=""),"",F5/E5)</f>
        <v/>
      </c>
      <c r="I5" s="18">
        <f>IF(B5="","",B5&amp;" - "&amp;C5&amp;" - "&amp;D5)</f>
        <v/>
      </c>
    </row>
    <row r="6">
      <c r="A6" s="15" t="n">
        <v>4</v>
      </c>
      <c r="B6" s="16" t="inlineStr">
        <is>
          <t>Silk PLA</t>
        </is>
      </c>
      <c r="C6" s="16" t="inlineStr">
        <is>
          <t>eSun</t>
        </is>
      </c>
      <c r="D6" s="16" t="inlineStr">
        <is>
          <t>Gold</t>
        </is>
      </c>
      <c r="E6" s="16" t="n">
        <v>500</v>
      </c>
      <c r="F6" s="16" t="n">
        <v>38</v>
      </c>
      <c r="G6" s="17">
        <f>IF(OR(E6="",F6=""),"",F6/E6)</f>
        <v/>
      </c>
      <c r="I6" s="18">
        <f>IF(B6="","",B6&amp;" - "&amp;C6&amp;" - "&amp;D6)</f>
        <v/>
      </c>
    </row>
    <row r="7">
      <c r="A7" s="15" t="n">
        <v>5</v>
      </c>
      <c r="B7" s="16" t="inlineStr">
        <is>
          <t>PETG</t>
        </is>
      </c>
      <c r="C7" s="16" t="inlineStr">
        <is>
          <t>Sunlu</t>
        </is>
      </c>
      <c r="D7" s="16" t="inlineStr">
        <is>
          <t>White</t>
        </is>
      </c>
      <c r="E7" s="16" t="n">
        <v>1000</v>
      </c>
      <c r="F7" s="16" t="n">
        <v>68</v>
      </c>
      <c r="G7" s="17">
        <f>IF(OR(E7="",F7=""),"",F7/E7)</f>
        <v/>
      </c>
      <c r="I7" s="18">
        <f>IF(B7="","",B7&amp;" - "&amp;C7&amp;" - "&amp;D7)</f>
        <v/>
      </c>
    </row>
    <row r="8">
      <c r="A8" s="15" t="n">
        <v>6</v>
      </c>
      <c r="B8" s="16" t="inlineStr">
        <is>
          <t>PETG</t>
        </is>
      </c>
      <c r="C8" s="16" t="inlineStr">
        <is>
          <t>Sunlu</t>
        </is>
      </c>
      <c r="D8" s="16" t="inlineStr">
        <is>
          <t>Black</t>
        </is>
      </c>
      <c r="E8" s="16" t="n">
        <v>1000</v>
      </c>
      <c r="F8" s="16" t="n">
        <v>68</v>
      </c>
      <c r="G8" s="17">
        <f>IF(OR(E8="",F8=""),"",F8/E8)</f>
        <v/>
      </c>
      <c r="I8" s="18">
        <f>IF(B8="","",B8&amp;" - "&amp;C8&amp;" - "&amp;D8)</f>
        <v/>
      </c>
    </row>
    <row r="9">
      <c r="A9" s="15" t="n">
        <v>7</v>
      </c>
      <c r="B9" s="16" t="inlineStr">
        <is>
          <t>ABS</t>
        </is>
      </c>
      <c r="C9" s="16" t="inlineStr">
        <is>
          <t>eSun</t>
        </is>
      </c>
      <c r="D9" s="16" t="inlineStr">
        <is>
          <t>Grey</t>
        </is>
      </c>
      <c r="E9" s="16" t="n">
        <v>1000</v>
      </c>
      <c r="F9" s="16" t="n">
        <v>72</v>
      </c>
      <c r="G9" s="17">
        <f>IF(OR(E9="",F9=""),"",F9/E9)</f>
        <v/>
      </c>
      <c r="I9" s="18">
        <f>IF(B9="","",B9&amp;" - "&amp;C9&amp;" - "&amp;D9)</f>
        <v/>
      </c>
    </row>
    <row r="10">
      <c r="A10" s="15" t="n">
        <v>8</v>
      </c>
      <c r="B10" s="16" t="inlineStr">
        <is>
          <t>TPU</t>
        </is>
      </c>
      <c r="C10" s="16" t="inlineStr">
        <is>
          <t>Creality</t>
        </is>
      </c>
      <c r="D10" s="16" t="inlineStr">
        <is>
          <t>Red</t>
        </is>
      </c>
      <c r="E10" s="16" t="n">
        <v>1000</v>
      </c>
      <c r="F10" s="16" t="n">
        <v>95</v>
      </c>
      <c r="G10" s="17">
        <f>IF(OR(E10="",F10=""),"",F10/E10)</f>
        <v/>
      </c>
      <c r="I10" s="18">
        <f>IF(B10="","",B10&amp;" - "&amp;C10&amp;" - "&amp;D10)</f>
        <v/>
      </c>
    </row>
    <row r="11">
      <c r="A11" s="15" t="n">
        <v>9</v>
      </c>
      <c r="B11" s="16" t="n"/>
      <c r="C11" s="16" t="n"/>
      <c r="D11" s="16" t="n"/>
      <c r="E11" s="16" t="n"/>
      <c r="F11" s="16" t="n"/>
      <c r="G11" s="17">
        <f>IF(OR(E11="",F11=""),"",F11/E11)</f>
        <v/>
      </c>
      <c r="I11" s="18">
        <f>IF(B11="","",B11&amp;" - "&amp;C11&amp;" - "&amp;D11)</f>
        <v/>
      </c>
    </row>
    <row r="12">
      <c r="A12" s="15" t="n">
        <v>10</v>
      </c>
      <c r="B12" s="16" t="n"/>
      <c r="C12" s="16" t="n"/>
      <c r="D12" s="16" t="n"/>
      <c r="E12" s="16" t="n"/>
      <c r="F12" s="16" t="n"/>
      <c r="G12" s="17">
        <f>IF(OR(E12="",F12=""),"",F12/E12)</f>
        <v/>
      </c>
      <c r="I12" s="18">
        <f>IF(B12="","",B12&amp;" - "&amp;C12&amp;" - "&amp;D12)</f>
        <v/>
      </c>
    </row>
    <row r="13">
      <c r="A13" s="15" t="n">
        <v>11</v>
      </c>
      <c r="B13" s="16" t="n"/>
      <c r="C13" s="16" t="n"/>
      <c r="D13" s="16" t="n"/>
      <c r="E13" s="16" t="n"/>
      <c r="F13" s="16" t="n"/>
      <c r="G13" s="17">
        <f>IF(OR(E13="",F13=""),"",F13/E13)</f>
        <v/>
      </c>
      <c r="I13" s="18">
        <f>IF(B13="","",B13&amp;" - "&amp;C13&amp;" - "&amp;D13)</f>
        <v/>
      </c>
    </row>
    <row r="14">
      <c r="A14" s="15" t="n">
        <v>12</v>
      </c>
      <c r="B14" s="16" t="n"/>
      <c r="C14" s="16" t="n"/>
      <c r="D14" s="16" t="n"/>
      <c r="E14" s="16" t="n"/>
      <c r="F14" s="16" t="n"/>
      <c r="G14" s="17">
        <f>IF(OR(E14="",F14=""),"",F14/E14)</f>
        <v/>
      </c>
      <c r="I14" s="18">
        <f>IF(B14="","",B14&amp;" - "&amp;C14&amp;" - "&amp;D14)</f>
        <v/>
      </c>
    </row>
    <row r="15">
      <c r="A15" s="15" t="n">
        <v>13</v>
      </c>
      <c r="B15" s="16" t="n"/>
      <c r="C15" s="16" t="n"/>
      <c r="D15" s="16" t="n"/>
      <c r="E15" s="16" t="n"/>
      <c r="F15" s="16" t="n"/>
      <c r="G15" s="17">
        <f>IF(OR(E15="",F15=""),"",F15/E15)</f>
        <v/>
      </c>
      <c r="I15" s="18">
        <f>IF(B15="","",B15&amp;" - "&amp;C15&amp;" - "&amp;D15)</f>
        <v/>
      </c>
    </row>
    <row r="16">
      <c r="A16" s="15" t="n">
        <v>14</v>
      </c>
      <c r="B16" s="16" t="n"/>
      <c r="C16" s="16" t="n"/>
      <c r="D16" s="16" t="n"/>
      <c r="E16" s="16" t="n"/>
      <c r="F16" s="16" t="n"/>
      <c r="G16" s="17">
        <f>IF(OR(E16="",F16=""),"",F16/E16)</f>
        <v/>
      </c>
      <c r="I16" s="18">
        <f>IF(B16="","",B16&amp;" - "&amp;C16&amp;" - "&amp;D16)</f>
        <v/>
      </c>
    </row>
    <row r="17">
      <c r="A17" s="15" t="n">
        <v>15</v>
      </c>
      <c r="B17" s="16" t="n"/>
      <c r="C17" s="16" t="n"/>
      <c r="D17" s="16" t="n"/>
      <c r="E17" s="16" t="n"/>
      <c r="F17" s="16" t="n"/>
      <c r="G17" s="17">
        <f>IF(OR(E17="",F17=""),"",F17/E17)</f>
        <v/>
      </c>
      <c r="I17" s="18">
        <f>IF(B17="","",B17&amp;" - "&amp;C17&amp;" - "&amp;D17)</f>
        <v/>
      </c>
    </row>
    <row r="18">
      <c r="A18" s="15" t="n">
        <v>16</v>
      </c>
      <c r="B18" s="16" t="n"/>
      <c r="C18" s="16" t="n"/>
      <c r="D18" s="16" t="n"/>
      <c r="E18" s="16" t="n"/>
      <c r="F18" s="16" t="n"/>
      <c r="G18" s="17">
        <f>IF(OR(E18="",F18=""),"",F18/E18)</f>
        <v/>
      </c>
      <c r="I18" s="18">
        <f>IF(B18="","",B18&amp;" - "&amp;C18&amp;" - "&amp;D18)</f>
        <v/>
      </c>
    </row>
    <row r="19">
      <c r="A19" s="15" t="n">
        <v>17</v>
      </c>
      <c r="B19" s="16" t="n"/>
      <c r="C19" s="16" t="n"/>
      <c r="D19" s="16" t="n"/>
      <c r="E19" s="16" t="n"/>
      <c r="F19" s="16" t="n"/>
      <c r="G19" s="17">
        <f>IF(OR(E19="",F19=""),"",F19/E19)</f>
        <v/>
      </c>
      <c r="I19" s="18">
        <f>IF(B19="","",B19&amp;" - "&amp;C19&amp;" - "&amp;D19)</f>
        <v/>
      </c>
    </row>
    <row r="20">
      <c r="A20" s="15" t="n">
        <v>18</v>
      </c>
      <c r="B20" s="16" t="n"/>
      <c r="C20" s="16" t="n"/>
      <c r="D20" s="16" t="n"/>
      <c r="E20" s="16" t="n"/>
      <c r="F20" s="16" t="n"/>
      <c r="G20" s="17">
        <f>IF(OR(E20="",F20=""),"",F20/E20)</f>
        <v/>
      </c>
      <c r="I20" s="18">
        <f>IF(B20="","",B20&amp;" - "&amp;C20&amp;" - "&amp;D20)</f>
        <v/>
      </c>
    </row>
    <row r="21">
      <c r="A21" s="15" t="n">
        <v>19</v>
      </c>
      <c r="B21" s="16" t="n"/>
      <c r="C21" s="16" t="n"/>
      <c r="D21" s="16" t="n"/>
      <c r="E21" s="16" t="n"/>
      <c r="F21" s="16" t="n"/>
      <c r="G21" s="17">
        <f>IF(OR(E21="",F21=""),"",F21/E21)</f>
        <v/>
      </c>
      <c r="I21" s="18">
        <f>IF(B21="","",B21&amp;" - "&amp;C21&amp;" - "&amp;D21)</f>
        <v/>
      </c>
    </row>
    <row r="22">
      <c r="A22" s="15" t="n">
        <v>20</v>
      </c>
      <c r="B22" s="16" t="n"/>
      <c r="C22" s="16" t="n"/>
      <c r="D22" s="16" t="n"/>
      <c r="E22" s="16" t="n"/>
      <c r="F22" s="16" t="n"/>
      <c r="G22" s="17">
        <f>IF(OR(E22="",F22=""),"",F22/E22)</f>
        <v/>
      </c>
      <c r="I22" s="18">
        <f>IF(B22="","",B22&amp;" - "&amp;C22&amp;" - "&amp;D22)</f>
        <v/>
      </c>
    </row>
    <row r="23">
      <c r="A23" s="15" t="n">
        <v>21</v>
      </c>
      <c r="B23" s="16" t="n"/>
      <c r="C23" s="16" t="n"/>
      <c r="D23" s="16" t="n"/>
      <c r="E23" s="16" t="n"/>
      <c r="F23" s="16" t="n"/>
      <c r="G23" s="17">
        <f>IF(OR(E23="",F23=""),"",F23/E23)</f>
        <v/>
      </c>
      <c r="I23" s="18">
        <f>IF(B23="","",B23&amp;" - "&amp;C23&amp;" - "&amp;D23)</f>
        <v/>
      </c>
    </row>
    <row r="24">
      <c r="A24" s="15" t="n">
        <v>22</v>
      </c>
      <c r="B24" s="16" t="n"/>
      <c r="C24" s="16" t="n"/>
      <c r="D24" s="16" t="n"/>
      <c r="E24" s="16" t="n"/>
      <c r="F24" s="16" t="n"/>
      <c r="G24" s="17">
        <f>IF(OR(E24="",F24=""),"",F24/E24)</f>
        <v/>
      </c>
      <c r="I24" s="18">
        <f>IF(B24="","",B24&amp;" - "&amp;C24&amp;" - "&amp;D24)</f>
        <v/>
      </c>
    </row>
    <row r="25">
      <c r="A25" s="15" t="n">
        <v>23</v>
      </c>
      <c r="B25" s="16" t="n"/>
      <c r="C25" s="16" t="n"/>
      <c r="D25" s="16" t="n"/>
      <c r="E25" s="16" t="n"/>
      <c r="F25" s="16" t="n"/>
      <c r="G25" s="17">
        <f>IF(OR(E25="",F25=""),"",F25/E25)</f>
        <v/>
      </c>
      <c r="I25" s="18">
        <f>IF(B25="","",B25&amp;" - "&amp;C25&amp;" - "&amp;D25)</f>
        <v/>
      </c>
    </row>
    <row r="26">
      <c r="A26" s="15" t="n">
        <v>24</v>
      </c>
      <c r="B26" s="16" t="n"/>
      <c r="C26" s="16" t="n"/>
      <c r="D26" s="16" t="n"/>
      <c r="E26" s="16" t="n"/>
      <c r="F26" s="16" t="n"/>
      <c r="G26" s="17">
        <f>IF(OR(E26="",F26=""),"",F26/E26)</f>
        <v/>
      </c>
      <c r="I26" s="18">
        <f>IF(B26="","",B26&amp;" - "&amp;C26&amp;" - "&amp;D26)</f>
        <v/>
      </c>
    </row>
    <row r="27">
      <c r="A27" s="15" t="n">
        <v>25</v>
      </c>
      <c r="B27" s="16" t="n"/>
      <c r="C27" s="16" t="n"/>
      <c r="D27" s="16" t="n"/>
      <c r="E27" s="16" t="n"/>
      <c r="F27" s="16" t="n"/>
      <c r="G27" s="17">
        <f>IF(OR(E27="",F27=""),"",F27/E27)</f>
        <v/>
      </c>
      <c r="I27" s="18">
        <f>IF(B27="","",B27&amp;" - "&amp;C27&amp;" - "&amp;D27)</f>
        <v/>
      </c>
    </row>
    <row r="28">
      <c r="A28" s="15" t="n">
        <v>26</v>
      </c>
      <c r="B28" s="16" t="n"/>
      <c r="C28" s="16" t="n"/>
      <c r="D28" s="16" t="n"/>
      <c r="E28" s="16" t="n"/>
      <c r="F28" s="16" t="n"/>
      <c r="G28" s="17">
        <f>IF(OR(E28="",F28=""),"",F28/E28)</f>
        <v/>
      </c>
      <c r="I28" s="18">
        <f>IF(B28="","",B28&amp;" - "&amp;C28&amp;" - "&amp;D28)</f>
        <v/>
      </c>
    </row>
    <row r="29">
      <c r="A29" s="15" t="n">
        <v>27</v>
      </c>
      <c r="B29" s="16" t="n"/>
      <c r="C29" s="16" t="n"/>
      <c r="D29" s="16" t="n"/>
      <c r="E29" s="16" t="n"/>
      <c r="F29" s="16" t="n"/>
      <c r="G29" s="17">
        <f>IF(OR(E29="",F29=""),"",F29/E29)</f>
        <v/>
      </c>
      <c r="I29" s="18">
        <f>IF(B29="","",B29&amp;" - "&amp;C29&amp;" - "&amp;D29)</f>
        <v/>
      </c>
    </row>
    <row r="30">
      <c r="A30" s="15" t="n">
        <v>28</v>
      </c>
      <c r="B30" s="16" t="n"/>
      <c r="C30" s="16" t="n"/>
      <c r="D30" s="16" t="n"/>
      <c r="E30" s="16" t="n"/>
      <c r="F30" s="16" t="n"/>
      <c r="G30" s="17">
        <f>IF(OR(E30="",F30=""),"",F30/E30)</f>
        <v/>
      </c>
      <c r="I30" s="18">
        <f>IF(B30="","",B30&amp;" - "&amp;C30&amp;" - "&amp;D30)</f>
        <v/>
      </c>
    </row>
    <row r="31">
      <c r="A31" s="15" t="n">
        <v>29</v>
      </c>
      <c r="B31" s="16" t="n"/>
      <c r="C31" s="16" t="n"/>
      <c r="D31" s="16" t="n"/>
      <c r="E31" s="16" t="n"/>
      <c r="F31" s="16" t="n"/>
      <c r="G31" s="17">
        <f>IF(OR(E31="",F31=""),"",F31/E31)</f>
        <v/>
      </c>
      <c r="I31" s="18">
        <f>IF(B31="","",B31&amp;" - "&amp;C31&amp;" - "&amp;D31)</f>
        <v/>
      </c>
    </row>
    <row r="32">
      <c r="A32" s="15" t="n">
        <v>30</v>
      </c>
      <c r="B32" s="16" t="n"/>
      <c r="C32" s="16" t="n"/>
      <c r="D32" s="16" t="n"/>
      <c r="E32" s="16" t="n"/>
      <c r="F32" s="16" t="n"/>
      <c r="G32" s="17">
        <f>IF(OR(E32="",F32=""),"",F32/E32)</f>
        <v/>
      </c>
      <c r="I32" s="18">
        <f>IF(B32="","",B32&amp;" - "&amp;C32&amp;" - "&amp;D32)</f>
        <v/>
      </c>
    </row>
    <row r="34">
      <c r="A34" s="13" t="inlineStr">
        <is>
          <t>أضف أنواع الفيلامنت في الصفوف الزرقاء — تظهر تلقائيًا في القائمة المنسدلة داخل الحاسبة.</t>
        </is>
      </c>
    </row>
  </sheetData>
  <mergeCells count="2">
    <mergeCell ref="A1:G1"/>
    <mergeCell ref="A34:G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7A00"/>
    <outlinePr summaryBelow="1" summaryRight="1"/>
    <pageSetUpPr/>
  </sheetPr>
  <dimension ref="A1:E44"/>
  <sheetViews>
    <sheetView showGridLines="0" rightToLeft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6" customWidth="1" min="4" max="4"/>
    <col width="16" customWidth="1" min="5" max="5"/>
  </cols>
  <sheetData>
    <row r="1" ht="42" customHeight="1">
      <c r="A1" s="19" t="inlineStr">
        <is>
          <t>🖨️  حاسبة تكلفة الطباعة ثلاثية الأبعاد</t>
        </is>
      </c>
    </row>
    <row r="2">
      <c r="A2" s="20" t="inlineStr">
        <is>
          <t>Creality Hi + CFS  —  احسب تكلفة أي مطبوعة بدقة</t>
        </is>
      </c>
    </row>
    <row r="4" ht="26" customHeight="1">
      <c r="A4" s="21" t="inlineStr">
        <is>
          <t>① معلومات المشروع</t>
        </is>
      </c>
    </row>
    <row r="5">
      <c r="A5" s="22" t="inlineStr">
        <is>
          <t>اسم المشروع</t>
        </is>
      </c>
      <c r="B5" s="16" t="inlineStr">
        <is>
          <t>نموذج تجريبي</t>
        </is>
      </c>
      <c r="C5" s="22" t="inlineStr">
        <is>
          <t>العميل</t>
        </is>
      </c>
      <c r="D5" s="16" t="inlineStr">
        <is>
          <t>عميل 1</t>
        </is>
      </c>
    </row>
    <row r="6">
      <c r="A6" s="22" t="inlineStr">
        <is>
          <t>رقم الفاتورة</t>
        </is>
      </c>
      <c r="B6" s="16" t="inlineStr">
        <is>
          <t>INV-001</t>
        </is>
      </c>
      <c r="C6" s="22" t="inlineStr">
        <is>
          <t>التاريخ</t>
        </is>
      </c>
      <c r="D6" s="16" t="inlineStr">
        <is>
          <t>2026-07-18</t>
        </is>
      </c>
    </row>
    <row r="7">
      <c r="A7" s="22" t="inlineStr">
        <is>
          <t>عدد القطع في هذه الطباعة</t>
        </is>
      </c>
      <c r="B7" s="23" t="n">
        <v>1</v>
      </c>
      <c r="C7" s="22" t="inlineStr">
        <is>
          <t>عدد النسخ المتوقع بيعها</t>
        </is>
      </c>
      <c r="D7" s="23" t="n">
        <v>20</v>
      </c>
    </row>
    <row r="9" ht="26" customHeight="1">
      <c r="A9" s="21" t="inlineStr">
        <is>
          <t>② الفيلامنت المستخدم (حتى 10 ألوان)</t>
        </is>
      </c>
    </row>
    <row r="10">
      <c r="A10" s="24" t="inlineStr">
        <is>
          <t>#</t>
        </is>
      </c>
      <c r="B10" s="24" t="inlineStr">
        <is>
          <t>الفيلامنت (النوع - الشركة - اللون)</t>
        </is>
      </c>
      <c r="C10" s="24" t="inlineStr">
        <is>
          <t>الوزن (جم)</t>
        </is>
      </c>
      <c r="D10" s="24" t="inlineStr">
        <is>
          <t>سعر الجرام</t>
        </is>
      </c>
      <c r="E10" s="24" t="inlineStr">
        <is>
          <t>التكلفة (ر.س)</t>
        </is>
      </c>
    </row>
    <row r="11">
      <c r="A11" s="15" t="n">
        <v>1</v>
      </c>
      <c r="B11" s="16" t="inlineStr">
        <is>
          <t>Silk PLA - eSun - Copper</t>
        </is>
      </c>
      <c r="C11" s="25" t="n">
        <v>115.75</v>
      </c>
      <c r="D11" s="17">
        <f>IFERROR(INDEX('قاعدة الفيلامنت'!$G$3:$G$32,MATCH(B11,'قاعدة الفيلامنت'!$I$3:$I$32,0)),0)</f>
        <v/>
      </c>
      <c r="E11" s="26">
        <f>IF(B11="",0,C11*D11)</f>
        <v/>
      </c>
    </row>
    <row r="12">
      <c r="A12" s="15" t="n">
        <v>2</v>
      </c>
      <c r="B12" s="16" t="inlineStr"/>
      <c r="C12" s="25" t="n"/>
      <c r="D12" s="17">
        <f>IFERROR(INDEX('قاعدة الفيلامنت'!$G$3:$G$32,MATCH(B12,'قاعدة الفيلامنت'!$I$3:$I$32,0)),0)</f>
        <v/>
      </c>
      <c r="E12" s="26">
        <f>IF(B12="",0,C12*D12)</f>
        <v/>
      </c>
    </row>
    <row r="13">
      <c r="A13" s="15" t="n">
        <v>3</v>
      </c>
      <c r="B13" s="16" t="inlineStr"/>
      <c r="C13" s="25" t="n"/>
      <c r="D13" s="17">
        <f>IFERROR(INDEX('قاعدة الفيلامنت'!$G$3:$G$32,MATCH(B13,'قاعدة الفيلامنت'!$I$3:$I$32,0)),0)</f>
        <v/>
      </c>
      <c r="E13" s="26">
        <f>IF(B13="",0,C13*D13)</f>
        <v/>
      </c>
    </row>
    <row r="14">
      <c r="A14" s="15" t="n">
        <v>4</v>
      </c>
      <c r="B14" s="16" t="inlineStr"/>
      <c r="C14" s="25" t="n"/>
      <c r="D14" s="17">
        <f>IFERROR(INDEX('قاعدة الفيلامنت'!$G$3:$G$32,MATCH(B14,'قاعدة الفيلامنت'!$I$3:$I$32,0)),0)</f>
        <v/>
      </c>
      <c r="E14" s="26">
        <f>IF(B14="",0,C14*D14)</f>
        <v/>
      </c>
    </row>
    <row r="15">
      <c r="A15" s="15" t="n">
        <v>5</v>
      </c>
      <c r="B15" s="16" t="inlineStr"/>
      <c r="C15" s="25" t="n"/>
      <c r="D15" s="17">
        <f>IFERROR(INDEX('قاعدة الفيلامنت'!$G$3:$G$32,MATCH(B15,'قاعدة الفيلامنت'!$I$3:$I$32,0)),0)</f>
        <v/>
      </c>
      <c r="E15" s="26">
        <f>IF(B15="",0,C15*D15)</f>
        <v/>
      </c>
    </row>
    <row r="16">
      <c r="A16" s="15" t="n">
        <v>6</v>
      </c>
      <c r="B16" s="16" t="inlineStr"/>
      <c r="C16" s="25" t="n"/>
      <c r="D16" s="17">
        <f>IFERROR(INDEX('قاعدة الفيلامنت'!$G$3:$G$32,MATCH(B16,'قاعدة الفيلامنت'!$I$3:$I$32,0)),0)</f>
        <v/>
      </c>
      <c r="E16" s="26">
        <f>IF(B16="",0,C16*D16)</f>
        <v/>
      </c>
    </row>
    <row r="17">
      <c r="A17" s="15" t="n">
        <v>7</v>
      </c>
      <c r="B17" s="16" t="inlineStr"/>
      <c r="C17" s="25" t="n"/>
      <c r="D17" s="17">
        <f>IFERROR(INDEX('قاعدة الفيلامنت'!$G$3:$G$32,MATCH(B17,'قاعدة الفيلامنت'!$I$3:$I$32,0)),0)</f>
        <v/>
      </c>
      <c r="E17" s="26">
        <f>IF(B17="",0,C17*D17)</f>
        <v/>
      </c>
    </row>
    <row r="18">
      <c r="A18" s="15" t="n">
        <v>8</v>
      </c>
      <c r="B18" s="16" t="inlineStr"/>
      <c r="C18" s="25" t="n"/>
      <c r="D18" s="17">
        <f>IFERROR(INDEX('قاعدة الفيلامنت'!$G$3:$G$32,MATCH(B18,'قاعدة الفيلامنت'!$I$3:$I$32,0)),0)</f>
        <v/>
      </c>
      <c r="E18" s="26">
        <f>IF(B18="",0,C18*D18)</f>
        <v/>
      </c>
    </row>
    <row r="19">
      <c r="A19" s="15" t="n">
        <v>9</v>
      </c>
      <c r="B19" s="16" t="inlineStr"/>
      <c r="C19" s="25" t="n"/>
      <c r="D19" s="17">
        <f>IFERROR(INDEX('قاعدة الفيلامنت'!$G$3:$G$32,MATCH(B19,'قاعدة الفيلامنت'!$I$3:$I$32,0)),0)</f>
        <v/>
      </c>
      <c r="E19" s="26">
        <f>IF(B19="",0,C19*D19)</f>
        <v/>
      </c>
    </row>
    <row r="20">
      <c r="A20" s="15" t="n">
        <v>10</v>
      </c>
      <c r="B20" s="16" t="inlineStr"/>
      <c r="C20" s="25" t="n"/>
      <c r="D20" s="17">
        <f>IFERROR(INDEX('قاعدة الفيلامنت'!$G$3:$G$32,MATCH(B20,'قاعدة الفيلامنت'!$I$3:$I$32,0)),0)</f>
        <v/>
      </c>
      <c r="E20" s="26">
        <f>IF(B20="",0,C20*D20)</f>
        <v/>
      </c>
    </row>
    <row r="21">
      <c r="A21" s="27" t="inlineStr">
        <is>
          <t>المجموع</t>
        </is>
      </c>
      <c r="C21" s="28">
        <f>SUM(C11:C20)</f>
        <v/>
      </c>
      <c r="E21" s="28">
        <f>SUM(E11:E20)</f>
        <v/>
      </c>
    </row>
    <row r="23" ht="26" customHeight="1">
      <c r="A23" s="21" t="inlineStr">
        <is>
          <t>③ الوقت والتشغيل</t>
        </is>
      </c>
    </row>
    <row r="24">
      <c r="A24" s="22" t="inlineStr">
        <is>
          <t>ساعات الطباعة</t>
        </is>
      </c>
      <c r="B24" s="25" t="n">
        <v>3.1</v>
      </c>
      <c r="C24" s="22" t="inlineStr">
        <is>
          <t>ساعات البحث والتصميم</t>
        </is>
      </c>
      <c r="D24" s="25" t="n">
        <v>3</v>
      </c>
    </row>
    <row r="25">
      <c r="A25" s="22" t="inlineStr">
        <is>
          <t>ساعات التعديل</t>
        </is>
      </c>
      <c r="B25" s="25" t="n">
        <v>0</v>
      </c>
    </row>
    <row r="27" ht="26" customHeight="1">
      <c r="A27" s="21" t="inlineStr">
        <is>
          <t>④ مصاريف إضافية (لكل قطعة)</t>
        </is>
      </c>
    </row>
    <row r="28">
      <c r="A28" s="22" t="inlineStr">
        <is>
          <t>التغليف</t>
        </is>
      </c>
      <c r="B28" s="29" t="n">
        <v>0.5</v>
      </c>
      <c r="C28" s="22" t="inlineStr">
        <is>
          <t>الشحن</t>
        </is>
      </c>
      <c r="D28" s="29" t="n">
        <v>0</v>
      </c>
    </row>
    <row r="29">
      <c r="A29" s="22" t="inlineStr">
        <is>
          <t>مصاريف أخرى</t>
        </is>
      </c>
      <c r="B29" s="29" t="n">
        <v>0</v>
      </c>
    </row>
    <row r="31" ht="26" customHeight="1">
      <c r="A31" s="21" t="inlineStr">
        <is>
          <t>⑤ النتيجة والتسعير</t>
        </is>
      </c>
    </row>
    <row r="32">
      <c r="A32" s="8" t="inlineStr">
        <is>
          <t>تكلفة المواد (للقطعة)</t>
        </is>
      </c>
      <c r="D32" s="30">
        <f>E21/MAX(B7,1)</f>
        <v/>
      </c>
      <c r="E32" s="31" t="n"/>
    </row>
    <row r="33">
      <c r="A33" s="8" t="inlineStr">
        <is>
          <t>تكلفة الكهرباء (للقطعة)</t>
        </is>
      </c>
      <c r="D33" s="30">
        <f>('الإعدادات'!$B$5*B24/1000*'الإعدادات'!$B$4)/MAX(B7,1)</f>
        <v/>
      </c>
      <c r="E33" s="31" t="n"/>
    </row>
    <row r="34">
      <c r="A34" s="8" t="inlineStr">
        <is>
          <t>تكلفة التصميم الكلية (مرة واحدة)</t>
        </is>
      </c>
      <c r="D34" s="30">
        <f>(D24+B25)*'الإعدادات'!$B$3</f>
        <v/>
      </c>
      <c r="E34" s="31" t="n"/>
    </row>
    <row r="35">
      <c r="A35" s="8" t="inlineStr">
        <is>
          <t>تكلفة التصميم (موزعة/قطعة)</t>
        </is>
      </c>
      <c r="D35" s="30">
        <f>((D24+B25)*'الإعدادات'!$B$3)/MAX(D7,1)</f>
        <v/>
      </c>
      <c r="E35" s="31" t="n"/>
    </row>
    <row r="36">
      <c r="A36" s="8" t="inlineStr">
        <is>
          <t>تغليف + شحن + أخرى (للقطعة)</t>
        </is>
      </c>
      <c r="D36" s="30">
        <f>B28+D28+B29</f>
        <v/>
      </c>
      <c r="E36" s="31" t="n"/>
    </row>
    <row r="37">
      <c r="A37" s="8" t="inlineStr">
        <is>
          <t>المجموع الفرعي (للقطعة)</t>
        </is>
      </c>
      <c r="D37" s="30">
        <f>D32+D33+D35+D36</f>
        <v/>
      </c>
      <c r="E37" s="31" t="n"/>
    </row>
    <row r="38">
      <c r="A38" s="8" t="inlineStr">
        <is>
          <t>الإهلاك والصيانة</t>
        </is>
      </c>
      <c r="D38" s="30">
        <f>D37*'الإعدادات'!$B$6</f>
        <v/>
      </c>
      <c r="E38" s="31" t="n"/>
    </row>
    <row r="39">
      <c r="A39" s="8" t="inlineStr">
        <is>
          <t>هامش الربح</t>
        </is>
      </c>
      <c r="D39" s="30">
        <f>(D37+D38)*'الإعدادات'!$B$7</f>
        <v/>
      </c>
      <c r="E39" s="31" t="n"/>
    </row>
    <row r="40" ht="30" customHeight="1">
      <c r="A40" s="32" t="inlineStr">
        <is>
          <t>💰 سعر بيع القطعة الواحدة</t>
        </is>
      </c>
      <c r="D40" s="33">
        <f>D37+D38+D39</f>
        <v/>
      </c>
      <c r="E40" s="31" t="n"/>
    </row>
    <row r="41">
      <c r="A41" s="8" t="inlineStr">
        <is>
          <t>سعر بيع الطباعة كاملة</t>
        </is>
      </c>
      <c r="D41" s="30">
        <f>D40*MAX(B7,1)</f>
        <v/>
      </c>
      <c r="E41" s="31" t="n"/>
    </row>
    <row r="42">
      <c r="A42" s="8" t="inlineStr">
        <is>
          <t>تكلفة أول نموذج (شاملة كل وقت التصميم)</t>
        </is>
      </c>
      <c r="D42" s="30">
        <f>E21+('الإعدادات'!$B$5*B24/1000*'الإعدادات'!$B$4)+((D24+B25)*'الإعدادات'!$B$3)+B28+D28+B29</f>
        <v/>
      </c>
      <c r="E42" s="31" t="n"/>
    </row>
    <row r="44">
      <c r="A44" s="34" t="inlineStr">
        <is>
          <t>📌 بعد حساب المشروع، انسخ القيم إلى ورقة «سجل المشاريع» لحفظه ومتابعة الأرباح.</t>
        </is>
      </c>
    </row>
  </sheetData>
  <mergeCells count="31">
    <mergeCell ref="A41:C41"/>
    <mergeCell ref="A37:C37"/>
    <mergeCell ref="D34:E34"/>
    <mergeCell ref="A1:E1"/>
    <mergeCell ref="D40:E40"/>
    <mergeCell ref="D36:E36"/>
    <mergeCell ref="A42:C42"/>
    <mergeCell ref="A33:C33"/>
    <mergeCell ref="A32:C32"/>
    <mergeCell ref="D32:E32"/>
    <mergeCell ref="D41:E41"/>
    <mergeCell ref="A35:C35"/>
    <mergeCell ref="A38:C38"/>
    <mergeCell ref="A27:E27"/>
    <mergeCell ref="A21:B21"/>
    <mergeCell ref="A2:E2"/>
    <mergeCell ref="D37:E37"/>
    <mergeCell ref="A40:C40"/>
    <mergeCell ref="A23:E23"/>
    <mergeCell ref="A39:C39"/>
    <mergeCell ref="A34:C34"/>
    <mergeCell ref="D39:E39"/>
    <mergeCell ref="A4:E4"/>
    <mergeCell ref="A36:C36"/>
    <mergeCell ref="D42:E42"/>
    <mergeCell ref="D33:E33"/>
    <mergeCell ref="D38:E38"/>
    <mergeCell ref="A31:E31"/>
    <mergeCell ref="A44:E44"/>
    <mergeCell ref="A9:E9"/>
    <mergeCell ref="D35:E35"/>
  </mergeCells>
  <dataValidations count="1">
    <dataValidation sqref="B11:B20" showDropDown="0" showInputMessage="0" showErrorMessage="0" allowBlank="1" type="list">
      <formula1>='قاعدة الفيلامنت'!$I$3:$I$32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590C"/>
    <outlinePr summaryBelow="1" summaryRight="1"/>
    <pageSetUpPr/>
  </sheetPr>
  <dimension ref="A1:N5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9" customWidth="1" min="5" max="5"/>
    <col width="12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4" customHeight="1">
      <c r="A1" s="6" t="inlineStr">
        <is>
          <t>📚  سجل المشاريع</t>
        </is>
      </c>
    </row>
    <row r="2" ht="40" customHeight="1">
      <c r="A2" s="35" t="inlineStr">
        <is>
          <t>التاريخ</t>
        </is>
      </c>
      <c r="B2" s="35" t="inlineStr">
        <is>
          <t>رقم الفاتورة</t>
        </is>
      </c>
      <c r="C2" s="35" t="inlineStr">
        <is>
          <t>العميل</t>
        </is>
      </c>
      <c r="D2" s="35" t="inlineStr">
        <is>
          <t>اسم المشروع</t>
        </is>
      </c>
      <c r="E2" s="35" t="inlineStr">
        <is>
          <t>عدد القطع</t>
        </is>
      </c>
      <c r="F2" s="35" t="inlineStr">
        <is>
          <t>وزن الفيلامنت (جم)</t>
        </is>
      </c>
      <c r="G2" s="35" t="inlineStr">
        <is>
          <t>ساعات الطباعة</t>
        </is>
      </c>
      <c r="H2" s="35" t="inlineStr">
        <is>
          <t>تكلفة المواد</t>
        </is>
      </c>
      <c r="I2" s="35" t="inlineStr">
        <is>
          <t>تكلفة الكهرباء</t>
        </is>
      </c>
      <c r="J2" s="35" t="inlineStr">
        <is>
          <t>تكلفة التصميم</t>
        </is>
      </c>
      <c r="K2" s="35" t="inlineStr">
        <is>
          <t>تغليف وشحن</t>
        </is>
      </c>
      <c r="L2" s="35" t="inlineStr">
        <is>
          <t>الإهلاك</t>
        </is>
      </c>
      <c r="M2" s="35" t="inlineStr">
        <is>
          <t>الربح</t>
        </is>
      </c>
      <c r="N2" s="35" t="inlineStr">
        <is>
          <t>سعر البيع</t>
        </is>
      </c>
    </row>
    <row r="3">
      <c r="A3" s="36" t="inlineStr">
        <is>
          <t>2026-07-18</t>
        </is>
      </c>
      <c r="B3" s="36" t="inlineStr">
        <is>
          <t>INV-001</t>
        </is>
      </c>
      <c r="C3" s="36" t="inlineStr">
        <is>
          <t>عميل 1</t>
        </is>
      </c>
      <c r="D3" s="36" t="inlineStr">
        <is>
          <t>نموذج تجريبي</t>
        </is>
      </c>
      <c r="E3" s="36" t="n">
        <v>1</v>
      </c>
      <c r="F3" s="36" t="n">
        <v>115.75</v>
      </c>
      <c r="G3" s="36" t="n">
        <v>3.1</v>
      </c>
      <c r="H3" s="37" t="n">
        <v>8.33</v>
      </c>
      <c r="I3" s="37" t="n">
        <v>0.08</v>
      </c>
      <c r="J3" s="37" t="n">
        <v>225</v>
      </c>
      <c r="K3" s="37" t="n">
        <v>0.5</v>
      </c>
      <c r="L3" s="37" t="n">
        <v>23.39</v>
      </c>
      <c r="M3" s="37" t="n">
        <v>35.09</v>
      </c>
      <c r="N3" s="37" t="n">
        <v>269.09</v>
      </c>
    </row>
    <row r="4">
      <c r="A4" s="36" t="inlineStr">
        <is>
          <t>2026-07-19</t>
        </is>
      </c>
      <c r="B4" s="36" t="inlineStr">
        <is>
          <t>INV-002</t>
        </is>
      </c>
      <c r="C4" s="36" t="inlineStr">
        <is>
          <t>عميل 2</t>
        </is>
      </c>
      <c r="D4" s="36" t="inlineStr">
        <is>
          <t>حامل جوال</t>
        </is>
      </c>
      <c r="E4" s="36" t="n">
        <v>4</v>
      </c>
      <c r="F4" s="36" t="n">
        <v>60</v>
      </c>
      <c r="G4" s="36" t="n">
        <v>1.5</v>
      </c>
      <c r="H4" s="37" t="n">
        <v>4.32</v>
      </c>
      <c r="I4" s="37" t="n">
        <v>0.04</v>
      </c>
      <c r="J4" s="37" t="n">
        <v>0</v>
      </c>
      <c r="K4" s="37" t="n">
        <v>2</v>
      </c>
      <c r="L4" s="37" t="n">
        <v>0.64</v>
      </c>
      <c r="M4" s="37" t="n">
        <v>1.05</v>
      </c>
      <c r="N4" s="37" t="n">
        <v>8.050000000000001</v>
      </c>
    </row>
    <row r="5">
      <c r="A5" s="36" t="n"/>
      <c r="B5" s="36" t="n"/>
      <c r="C5" s="36" t="n"/>
      <c r="D5" s="36" t="n"/>
      <c r="E5" s="36" t="n"/>
      <c r="F5" s="36" t="n"/>
      <c r="G5" s="36" t="n"/>
      <c r="H5" s="37" t="n"/>
      <c r="I5" s="37" t="n"/>
      <c r="J5" s="37" t="n"/>
      <c r="K5" s="37" t="n"/>
      <c r="L5" s="37" t="n"/>
      <c r="M5" s="37" t="n"/>
      <c r="N5" s="37" t="n"/>
    </row>
    <row r="6">
      <c r="A6" s="36" t="n"/>
      <c r="B6" s="36" t="n"/>
      <c r="C6" s="36" t="n"/>
      <c r="D6" s="36" t="n"/>
      <c r="E6" s="36" t="n"/>
      <c r="F6" s="36" t="n"/>
      <c r="G6" s="36" t="n"/>
      <c r="H6" s="37" t="n"/>
      <c r="I6" s="37" t="n"/>
      <c r="J6" s="37" t="n"/>
      <c r="K6" s="37" t="n"/>
      <c r="L6" s="37" t="n"/>
      <c r="M6" s="37" t="n"/>
      <c r="N6" s="37" t="n"/>
    </row>
    <row r="7">
      <c r="A7" s="36" t="n"/>
      <c r="B7" s="36" t="n"/>
      <c r="C7" s="36" t="n"/>
      <c r="D7" s="36" t="n"/>
      <c r="E7" s="36" t="n"/>
      <c r="F7" s="36" t="n"/>
      <c r="G7" s="36" t="n"/>
      <c r="H7" s="37" t="n"/>
      <c r="I7" s="37" t="n"/>
      <c r="J7" s="37" t="n"/>
      <c r="K7" s="37" t="n"/>
      <c r="L7" s="37" t="n"/>
      <c r="M7" s="37" t="n"/>
      <c r="N7" s="37" t="n"/>
    </row>
    <row r="8">
      <c r="A8" s="36" t="n"/>
      <c r="B8" s="36" t="n"/>
      <c r="C8" s="36" t="n"/>
      <c r="D8" s="36" t="n"/>
      <c r="E8" s="36" t="n"/>
      <c r="F8" s="36" t="n"/>
      <c r="G8" s="36" t="n"/>
      <c r="H8" s="37" t="n"/>
      <c r="I8" s="37" t="n"/>
      <c r="J8" s="37" t="n"/>
      <c r="K8" s="37" t="n"/>
      <c r="L8" s="37" t="n"/>
      <c r="M8" s="37" t="n"/>
      <c r="N8" s="37" t="n"/>
    </row>
    <row r="9">
      <c r="A9" s="36" t="n"/>
      <c r="B9" s="36" t="n"/>
      <c r="C9" s="36" t="n"/>
      <c r="D9" s="36" t="n"/>
      <c r="E9" s="36" t="n"/>
      <c r="F9" s="36" t="n"/>
      <c r="G9" s="36" t="n"/>
      <c r="H9" s="37" t="n"/>
      <c r="I9" s="37" t="n"/>
      <c r="J9" s="37" t="n"/>
      <c r="K9" s="37" t="n"/>
      <c r="L9" s="37" t="n"/>
      <c r="M9" s="37" t="n"/>
      <c r="N9" s="37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37" t="n"/>
      <c r="I10" s="37" t="n"/>
      <c r="J10" s="37" t="n"/>
      <c r="K10" s="37" t="n"/>
      <c r="L10" s="37" t="n"/>
      <c r="M10" s="37" t="n"/>
      <c r="N10" s="37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7" t="n"/>
      <c r="I11" s="37" t="n"/>
      <c r="J11" s="37" t="n"/>
      <c r="K11" s="37" t="n"/>
      <c r="L11" s="37" t="n"/>
      <c r="M11" s="37" t="n"/>
      <c r="N11" s="37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7" t="n"/>
      <c r="I12" s="37" t="n"/>
      <c r="J12" s="37" t="n"/>
      <c r="K12" s="37" t="n"/>
      <c r="L12" s="37" t="n"/>
      <c r="M12" s="37" t="n"/>
      <c r="N12" s="37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7" t="n"/>
      <c r="I13" s="37" t="n"/>
      <c r="J13" s="37" t="n"/>
      <c r="K13" s="37" t="n"/>
      <c r="L13" s="37" t="n"/>
      <c r="M13" s="37" t="n"/>
      <c r="N13" s="37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7" t="n"/>
      <c r="I14" s="37" t="n"/>
      <c r="J14" s="37" t="n"/>
      <c r="K14" s="37" t="n"/>
      <c r="L14" s="37" t="n"/>
      <c r="M14" s="37" t="n"/>
      <c r="N14" s="37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7" t="n"/>
      <c r="I15" s="37" t="n"/>
      <c r="J15" s="37" t="n"/>
      <c r="K15" s="37" t="n"/>
      <c r="L15" s="37" t="n"/>
      <c r="M15" s="37" t="n"/>
      <c r="N15" s="37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7" t="n"/>
      <c r="I16" s="37" t="n"/>
      <c r="J16" s="37" t="n"/>
      <c r="K16" s="37" t="n"/>
      <c r="L16" s="37" t="n"/>
      <c r="M16" s="37" t="n"/>
      <c r="N16" s="37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7" t="n"/>
      <c r="I25" s="37" t="n"/>
      <c r="J25" s="37" t="n"/>
      <c r="K25" s="37" t="n"/>
      <c r="L25" s="37" t="n"/>
      <c r="M25" s="37" t="n"/>
      <c r="N25" s="37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7" t="n"/>
      <c r="I26" s="37" t="n"/>
      <c r="J26" s="37" t="n"/>
      <c r="K26" s="37" t="n"/>
      <c r="L26" s="37" t="n"/>
      <c r="M26" s="37" t="n"/>
      <c r="N26" s="37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7" t="n"/>
      <c r="I27" s="37" t="n"/>
      <c r="J27" s="37" t="n"/>
      <c r="K27" s="37" t="n"/>
      <c r="L27" s="37" t="n"/>
      <c r="M27" s="37" t="n"/>
      <c r="N27" s="37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7" t="n"/>
      <c r="I28" s="37" t="n"/>
      <c r="J28" s="37" t="n"/>
      <c r="K28" s="37" t="n"/>
      <c r="L28" s="37" t="n"/>
      <c r="M28" s="37" t="n"/>
      <c r="N28" s="37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7" t="n"/>
      <c r="I29" s="37" t="n"/>
      <c r="J29" s="37" t="n"/>
      <c r="K29" s="37" t="n"/>
      <c r="L29" s="37" t="n"/>
      <c r="M29" s="37" t="n"/>
      <c r="N29" s="37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7" t="n"/>
      <c r="I30" s="37" t="n"/>
      <c r="J30" s="37" t="n"/>
      <c r="K30" s="37" t="n"/>
      <c r="L30" s="37" t="n"/>
      <c r="M30" s="37" t="n"/>
      <c r="N30" s="37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7" t="n"/>
      <c r="I31" s="37" t="n"/>
      <c r="J31" s="37" t="n"/>
      <c r="K31" s="37" t="n"/>
      <c r="L31" s="37" t="n"/>
      <c r="M31" s="37" t="n"/>
      <c r="N31" s="37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7" t="n"/>
      <c r="I32" s="37" t="n"/>
      <c r="J32" s="37" t="n"/>
      <c r="K32" s="37" t="n"/>
      <c r="L32" s="37" t="n"/>
      <c r="M32" s="37" t="n"/>
      <c r="N32" s="37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7" t="n"/>
      <c r="I34" s="37" t="n"/>
      <c r="J34" s="37" t="n"/>
      <c r="K34" s="37" t="n"/>
      <c r="L34" s="37" t="n"/>
      <c r="M34" s="37" t="n"/>
      <c r="N34" s="37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7" t="n"/>
      <c r="I35" s="37" t="n"/>
      <c r="J35" s="37" t="n"/>
      <c r="K35" s="37" t="n"/>
      <c r="L35" s="37" t="n"/>
      <c r="M35" s="37" t="n"/>
      <c r="N35" s="37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7" t="n"/>
      <c r="I36" s="37" t="n"/>
      <c r="J36" s="37" t="n"/>
      <c r="K36" s="37" t="n"/>
      <c r="L36" s="37" t="n"/>
      <c r="M36" s="37" t="n"/>
      <c r="N36" s="37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7" t="n"/>
      <c r="I37" s="37" t="n"/>
      <c r="J37" s="37" t="n"/>
      <c r="K37" s="37" t="n"/>
      <c r="L37" s="37" t="n"/>
      <c r="M37" s="37" t="n"/>
      <c r="N37" s="37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7" t="n"/>
      <c r="I38" s="37" t="n"/>
      <c r="J38" s="37" t="n"/>
      <c r="K38" s="37" t="n"/>
      <c r="L38" s="37" t="n"/>
      <c r="M38" s="37" t="n"/>
      <c r="N38" s="37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7" t="n"/>
      <c r="I39" s="37" t="n"/>
      <c r="J39" s="37" t="n"/>
      <c r="K39" s="37" t="n"/>
      <c r="L39" s="37" t="n"/>
      <c r="M39" s="37" t="n"/>
      <c r="N39" s="37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7" t="n"/>
      <c r="I40" s="37" t="n"/>
      <c r="J40" s="37" t="n"/>
      <c r="K40" s="37" t="n"/>
      <c r="L40" s="37" t="n"/>
      <c r="M40" s="37" t="n"/>
      <c r="N40" s="37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7" t="n"/>
      <c r="I41" s="37" t="n"/>
      <c r="J41" s="37" t="n"/>
      <c r="K41" s="37" t="n"/>
      <c r="L41" s="37" t="n"/>
      <c r="M41" s="37" t="n"/>
      <c r="N41" s="37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7" t="n"/>
      <c r="I42" s="37" t="n"/>
      <c r="J42" s="37" t="n"/>
      <c r="K42" s="37" t="n"/>
      <c r="L42" s="37" t="n"/>
      <c r="M42" s="37" t="n"/>
      <c r="N42" s="37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7" t="n"/>
      <c r="I44" s="37" t="n"/>
      <c r="J44" s="37" t="n"/>
      <c r="K44" s="37" t="n"/>
      <c r="L44" s="37" t="n"/>
      <c r="M44" s="37" t="n"/>
      <c r="N44" s="37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7" t="n"/>
      <c r="I45" s="37" t="n"/>
      <c r="J45" s="37" t="n"/>
      <c r="K45" s="37" t="n"/>
      <c r="L45" s="37" t="n"/>
      <c r="M45" s="37" t="n"/>
      <c r="N45" s="37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7" t="n"/>
      <c r="I46" s="37" t="n"/>
      <c r="J46" s="37" t="n"/>
      <c r="K46" s="37" t="n"/>
      <c r="L46" s="37" t="n"/>
      <c r="M46" s="37" t="n"/>
      <c r="N46" s="37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7" t="n"/>
      <c r="I47" s="37" t="n"/>
      <c r="J47" s="37" t="n"/>
      <c r="K47" s="37" t="n"/>
      <c r="L47" s="37" t="n"/>
      <c r="M47" s="37" t="n"/>
      <c r="N47" s="37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7" t="n"/>
      <c r="I48" s="37" t="n"/>
      <c r="J48" s="37" t="n"/>
      <c r="K48" s="37" t="n"/>
      <c r="L48" s="37" t="n"/>
      <c r="M48" s="37" t="n"/>
      <c r="N48" s="37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7" t="n"/>
      <c r="I49" s="37" t="n"/>
      <c r="J49" s="37" t="n"/>
      <c r="K49" s="37" t="n"/>
      <c r="L49" s="37" t="n"/>
      <c r="M49" s="37" t="n"/>
      <c r="N49" s="37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7" t="n"/>
      <c r="I50" s="37" t="n"/>
      <c r="J50" s="37" t="n"/>
      <c r="K50" s="37" t="n"/>
      <c r="L50" s="37" t="n"/>
      <c r="M50" s="37" t="n"/>
      <c r="N50" s="37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7" t="n"/>
      <c r="I51" s="37" t="n"/>
      <c r="J51" s="37" t="n"/>
      <c r="K51" s="37" t="n"/>
      <c r="L51" s="37" t="n"/>
      <c r="M51" s="37" t="n"/>
      <c r="N51" s="37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7" t="n"/>
      <c r="I52" s="37" t="n"/>
      <c r="J52" s="37" t="n"/>
      <c r="K52" s="37" t="n"/>
      <c r="L52" s="37" t="n"/>
      <c r="M52" s="37" t="n"/>
      <c r="N52" s="37" t="n"/>
    </row>
    <row r="53">
      <c r="A53" s="27" t="inlineStr">
        <is>
          <t>الإجمالي</t>
        </is>
      </c>
      <c r="G53" s="38">
        <f>SUM(G3:G52)</f>
        <v/>
      </c>
      <c r="H53" s="38">
        <f>SUM(H3:H52)</f>
        <v/>
      </c>
      <c r="I53" s="38">
        <f>SUM(I3:I52)</f>
        <v/>
      </c>
      <c r="J53" s="38">
        <f>SUM(J3:J52)</f>
        <v/>
      </c>
      <c r="K53" s="38">
        <f>SUM(K3:K52)</f>
        <v/>
      </c>
      <c r="L53" s="38">
        <f>SUM(L3:L52)</f>
        <v/>
      </c>
      <c r="M53" s="38">
        <f>SUM(M3:M52)</f>
        <v/>
      </c>
      <c r="N53" s="38">
        <f>SUM(N3:N52)</f>
        <v/>
      </c>
    </row>
  </sheetData>
  <mergeCells count="2">
    <mergeCell ref="A53:E5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7A00"/>
    <outlinePr summaryBelow="1" summaryRight="1"/>
    <pageSetUpPr/>
  </sheetPr>
  <dimension ref="A1:F7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2" customHeight="1">
      <c r="A1" s="19" t="inlineStr">
        <is>
          <t>📊  لوحة التحكم والأرباح</t>
        </is>
      </c>
    </row>
    <row r="3">
      <c r="B3" s="39" t="inlineStr">
        <is>
          <t>عدد المشاريع</t>
        </is>
      </c>
      <c r="D3" s="39" t="inlineStr">
        <is>
          <t>إجمالي المبيعات</t>
        </is>
      </c>
      <c r="F3" s="39" t="inlineStr">
        <is>
          <t>إجمالي الأرباح</t>
        </is>
      </c>
    </row>
    <row r="4" ht="30" customHeight="1">
      <c r="B4" s="40">
        <f>COUNTA('سجل المشاريع'!$B$3:$B$52)</f>
        <v/>
      </c>
      <c r="D4" s="41">
        <f>SUM('سجل المشاريع'!$N$3:$N$52)</f>
        <v/>
      </c>
      <c r="F4" s="41">
        <f>SUM('سجل المشاريع'!$M$3:$M$52)</f>
        <v/>
      </c>
    </row>
    <row r="6">
      <c r="B6" s="39" t="inlineStr">
        <is>
          <t>إجمالي ساعات الطباعة</t>
        </is>
      </c>
      <c r="D6" s="39" t="inlineStr">
        <is>
          <t>استهلاك الفيلامنت</t>
        </is>
      </c>
      <c r="F6" s="39" t="inlineStr">
        <is>
          <t>متوسط قيمة المشروع</t>
        </is>
      </c>
    </row>
    <row r="7" ht="30" customHeight="1">
      <c r="B7" s="42">
        <f>SUM('سجل المشاريع'!$G$3:$G$52)</f>
        <v/>
      </c>
      <c r="D7" s="43">
        <f>SUM('سجل المشاريع'!$F$3:$F$52)/1000</f>
        <v/>
      </c>
      <c r="F7" s="41">
        <f>IFERROR(SUM('سجل المشاريع'!$N$3:$N$52)/COUNTA('سجل المشاريع'!$B$3:$B$52),0)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8590C"/>
    <outlinePr summaryBelow="1" summaryRight="1"/>
    <pageSetUpPr/>
  </sheetPr>
  <dimension ref="A1:E15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44" t="inlineStr">
        <is>
          <t>🖨️  متجر الطباعة ثلاثية الأبعاد</t>
        </is>
      </c>
    </row>
    <row r="2"/>
    <row r="3">
      <c r="A3" s="45" t="inlineStr">
        <is>
          <t>فاتورة ضريبية / عرض سعر</t>
        </is>
      </c>
    </row>
    <row r="5">
      <c r="B5" s="22" t="inlineStr">
        <is>
          <t>رقم الفاتورة</t>
        </is>
      </c>
      <c r="C5" s="46">
        <f>'الحاسبة'!B6</f>
        <v/>
      </c>
    </row>
    <row r="6">
      <c r="B6" s="22" t="inlineStr">
        <is>
          <t>التاريخ</t>
        </is>
      </c>
      <c r="C6" s="46">
        <f>'الحاسبة'!D6</f>
        <v/>
      </c>
    </row>
    <row r="7">
      <c r="B7" s="22" t="inlineStr">
        <is>
          <t>العميل</t>
        </is>
      </c>
      <c r="C7" s="46">
        <f>'الحاسبة'!D5</f>
        <v/>
      </c>
    </row>
    <row r="9">
      <c r="A9" s="39" t="inlineStr">
        <is>
          <t>#</t>
        </is>
      </c>
      <c r="B9" s="39" t="inlineStr">
        <is>
          <t>المنتج</t>
        </is>
      </c>
      <c r="C9" s="39" t="inlineStr">
        <is>
          <t>الكمية</t>
        </is>
      </c>
      <c r="D9" s="39" t="inlineStr">
        <is>
          <t>سعر الوحدة (ر.س)</t>
        </is>
      </c>
      <c r="E9" s="39" t="inlineStr">
        <is>
          <t>الإجمالي (ر.س)</t>
        </is>
      </c>
    </row>
    <row r="10">
      <c r="A10" s="47" t="n">
        <v>1</v>
      </c>
      <c r="B10" s="47">
        <f>'الحاسبة'!B5</f>
        <v/>
      </c>
      <c r="C10" s="47">
        <f>'الحاسبة'!B7</f>
        <v/>
      </c>
      <c r="D10" s="48">
        <f>'الحاسبة'!D40</f>
        <v/>
      </c>
      <c r="E10" s="48">
        <f>C10*D10</f>
        <v/>
      </c>
    </row>
    <row r="12">
      <c r="D12" s="49" t="inlineStr">
        <is>
          <t>الإجمالي:</t>
        </is>
      </c>
      <c r="E12" s="50">
        <f>E10</f>
        <v/>
      </c>
    </row>
    <row r="15">
      <c r="A15" s="51" t="inlineStr">
        <is>
          <t>شكرًا لتعاملكم معنا — تُطبع هذه الورقة PDF عبر: ملف ← تصدير ← PDF (أو بزر الماكرو).</t>
        </is>
      </c>
    </row>
  </sheetData>
  <mergeCells count="6">
    <mergeCell ref="C6:D6"/>
    <mergeCell ref="C7:D7"/>
    <mergeCell ref="A15:E15"/>
    <mergeCell ref="C5:D5"/>
    <mergeCell ref="A1:E2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8590C"/>
    <outlinePr summaryBelow="1" summaryRight="1"/>
    <pageSetUpPr/>
  </sheetPr>
  <dimension ref="A1:E2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8" customWidth="1" min="4" max="4"/>
    <col width="16" customWidth="1" min="5" max="5"/>
  </cols>
  <sheetData>
    <row r="1" ht="34" customHeight="1">
      <c r="A1" s="6" t="inlineStr">
        <is>
          <t>📦  إدارة مخزون الفيلامنت</t>
        </is>
      </c>
    </row>
    <row r="2" ht="30" customHeight="1">
      <c r="A2" s="39" t="inlineStr">
        <is>
          <t>#</t>
        </is>
      </c>
      <c r="B2" s="39" t="inlineStr">
        <is>
          <t>الفيلامنت (النوع - الشركة - اللون)</t>
        </is>
      </c>
      <c r="C2" s="39" t="inlineStr">
        <is>
          <t>الرصيد الحالي (جم)</t>
        </is>
      </c>
      <c r="D2" s="39" t="inlineStr">
        <is>
          <t>حد إعادة الطلب (جم)</t>
        </is>
      </c>
      <c r="E2" s="39" t="inlineStr">
        <is>
          <t>الحالة</t>
        </is>
      </c>
    </row>
    <row r="3">
      <c r="A3" s="15" t="n">
        <v>1</v>
      </c>
      <c r="B3" s="16" t="inlineStr">
        <is>
          <t>Silk PLA - eSun - Copper</t>
        </is>
      </c>
      <c r="C3" s="16" t="n">
        <v>380</v>
      </c>
      <c r="D3" s="16" t="n">
        <v>200</v>
      </c>
      <c r="E3" s="52">
        <f>IF(B3="","",IF(C3&lt;=D3,"⚠️ اطلب","✔ متوفر"))</f>
        <v/>
      </c>
    </row>
    <row r="4">
      <c r="A4" s="15" t="n">
        <v>2</v>
      </c>
      <c r="B4" s="16" t="inlineStr">
        <is>
          <t>PLA - Creality - Black</t>
        </is>
      </c>
      <c r="C4" s="16" t="n">
        <v>950</v>
      </c>
      <c r="D4" s="16" t="n">
        <v>300</v>
      </c>
      <c r="E4" s="52">
        <f>IF(B4="","",IF(C4&lt;=D4,"⚠️ اطلب","✔ متوفر"))</f>
        <v/>
      </c>
    </row>
    <row r="5">
      <c r="A5" s="15" t="n">
        <v>3</v>
      </c>
      <c r="B5" s="16" t="inlineStr">
        <is>
          <t>PETG - Sunlu - White</t>
        </is>
      </c>
      <c r="C5" s="16" t="n">
        <v>120</v>
      </c>
      <c r="D5" s="16" t="n">
        <v>300</v>
      </c>
      <c r="E5" s="52">
        <f>IF(B5="","",IF(C5&lt;=D5,"⚠️ اطلب","✔ متوفر"))</f>
        <v/>
      </c>
    </row>
    <row r="6">
      <c r="A6" s="15" t="n">
        <v>4</v>
      </c>
      <c r="B6" s="16" t="n"/>
      <c r="C6" s="16" t="n"/>
      <c r="D6" s="16" t="n"/>
      <c r="E6" s="52">
        <f>IF(B6="","",IF(C6&lt;=D6,"⚠️ اطلب","✔ متوفر"))</f>
        <v/>
      </c>
    </row>
    <row r="7">
      <c r="A7" s="15" t="n">
        <v>5</v>
      </c>
      <c r="B7" s="16" t="n"/>
      <c r="C7" s="16" t="n"/>
      <c r="D7" s="16" t="n"/>
      <c r="E7" s="52">
        <f>IF(B7="","",IF(C7&lt;=D7,"⚠️ اطلب","✔ متوفر"))</f>
        <v/>
      </c>
    </row>
    <row r="8">
      <c r="A8" s="15" t="n">
        <v>6</v>
      </c>
      <c r="B8" s="16" t="n"/>
      <c r="C8" s="16" t="n"/>
      <c r="D8" s="16" t="n"/>
      <c r="E8" s="52">
        <f>IF(B8="","",IF(C8&lt;=D8,"⚠️ اطلب","✔ متوفر"))</f>
        <v/>
      </c>
    </row>
    <row r="9">
      <c r="A9" s="15" t="n">
        <v>7</v>
      </c>
      <c r="B9" s="16" t="n"/>
      <c r="C9" s="16" t="n"/>
      <c r="D9" s="16" t="n"/>
      <c r="E9" s="52">
        <f>IF(B9="","",IF(C9&lt;=D9,"⚠️ اطلب","✔ متوفر"))</f>
        <v/>
      </c>
    </row>
    <row r="10">
      <c r="A10" s="15" t="n">
        <v>8</v>
      </c>
      <c r="B10" s="16" t="n"/>
      <c r="C10" s="16" t="n"/>
      <c r="D10" s="16" t="n"/>
      <c r="E10" s="52">
        <f>IF(B10="","",IF(C10&lt;=D10,"⚠️ اطلب","✔ متوفر"))</f>
        <v/>
      </c>
    </row>
    <row r="11">
      <c r="A11" s="15" t="n">
        <v>9</v>
      </c>
      <c r="B11" s="16" t="n"/>
      <c r="C11" s="16" t="n"/>
      <c r="D11" s="16" t="n"/>
      <c r="E11" s="52">
        <f>IF(B11="","",IF(C11&lt;=D11,"⚠️ اطلب","✔ متوفر"))</f>
        <v/>
      </c>
    </row>
    <row r="12">
      <c r="A12" s="15" t="n">
        <v>10</v>
      </c>
      <c r="B12" s="16" t="n"/>
      <c r="C12" s="16" t="n"/>
      <c r="D12" s="16" t="n"/>
      <c r="E12" s="52">
        <f>IF(B12="","",IF(C12&lt;=D12,"⚠️ اطلب","✔ متوفر"))</f>
        <v/>
      </c>
    </row>
    <row r="13">
      <c r="A13" s="15" t="n">
        <v>11</v>
      </c>
      <c r="B13" s="16" t="n"/>
      <c r="C13" s="16" t="n"/>
      <c r="D13" s="16" t="n"/>
      <c r="E13" s="52">
        <f>IF(B13="","",IF(C13&lt;=D13,"⚠️ اطلب","✔ متوفر"))</f>
        <v/>
      </c>
    </row>
    <row r="14">
      <c r="A14" s="15" t="n">
        <v>12</v>
      </c>
      <c r="B14" s="16" t="n"/>
      <c r="C14" s="16" t="n"/>
      <c r="D14" s="16" t="n"/>
      <c r="E14" s="52">
        <f>IF(B14="","",IF(C14&lt;=D14,"⚠️ اطلب","✔ متوفر"))</f>
        <v/>
      </c>
    </row>
    <row r="15">
      <c r="A15" s="15" t="n">
        <v>13</v>
      </c>
      <c r="B15" s="16" t="n"/>
      <c r="C15" s="16" t="n"/>
      <c r="D15" s="16" t="n"/>
      <c r="E15" s="52">
        <f>IF(B15="","",IF(C15&lt;=D15,"⚠️ اطلب","✔ متوفر"))</f>
        <v/>
      </c>
    </row>
    <row r="16">
      <c r="A16" s="15" t="n">
        <v>14</v>
      </c>
      <c r="B16" s="16" t="n"/>
      <c r="C16" s="16" t="n"/>
      <c r="D16" s="16" t="n"/>
      <c r="E16" s="52">
        <f>IF(B16="","",IF(C16&lt;=D16,"⚠️ اطلب","✔ متوفر"))</f>
        <v/>
      </c>
    </row>
    <row r="17">
      <c r="A17" s="15" t="n">
        <v>15</v>
      </c>
      <c r="B17" s="16" t="n"/>
      <c r="C17" s="16" t="n"/>
      <c r="D17" s="16" t="n"/>
      <c r="E17" s="52">
        <f>IF(B17="","",IF(C17&lt;=D17,"⚠️ اطلب","✔ متوفر"))</f>
        <v/>
      </c>
    </row>
    <row r="18">
      <c r="A18" s="15" t="n">
        <v>16</v>
      </c>
      <c r="B18" s="16" t="n"/>
      <c r="C18" s="16" t="n"/>
      <c r="D18" s="16" t="n"/>
      <c r="E18" s="52">
        <f>IF(B18="","",IF(C18&lt;=D18,"⚠️ اطلب","✔ متوفر"))</f>
        <v/>
      </c>
    </row>
    <row r="19">
      <c r="A19" s="15" t="n">
        <v>17</v>
      </c>
      <c r="B19" s="16" t="n"/>
      <c r="C19" s="16" t="n"/>
      <c r="D19" s="16" t="n"/>
      <c r="E19" s="52">
        <f>IF(B19="","",IF(C19&lt;=D19,"⚠️ اطلب","✔ متوفر"))</f>
        <v/>
      </c>
    </row>
    <row r="20">
      <c r="A20" s="15" t="n">
        <v>18</v>
      </c>
      <c r="B20" s="16" t="n"/>
      <c r="C20" s="16" t="n"/>
      <c r="D20" s="16" t="n"/>
      <c r="E20" s="52">
        <f>IF(B20="","",IF(C20&lt;=D20,"⚠️ اطلب","✔ متوفر"))</f>
        <v/>
      </c>
    </row>
    <row r="21">
      <c r="A21" s="15" t="n">
        <v>19</v>
      </c>
      <c r="B21" s="16" t="n"/>
      <c r="C21" s="16" t="n"/>
      <c r="D21" s="16" t="n"/>
      <c r="E21" s="52">
        <f>IF(B21="","",IF(C21&lt;=D21,"⚠️ اطلب","✔ متوفر"))</f>
        <v/>
      </c>
    </row>
    <row r="22">
      <c r="A22" s="15" t="n">
        <v>20</v>
      </c>
      <c r="B22" s="16" t="n"/>
      <c r="C22" s="16" t="n"/>
      <c r="D22" s="16" t="n"/>
      <c r="E22" s="52">
        <f>IF(B22="","",IF(C22&lt;=D22,"⚠️ اطلب","✔ متوفر"))</f>
        <v/>
      </c>
    </row>
    <row r="24">
      <c r="A24" s="13" t="inlineStr">
        <is>
          <t>تظهر «⚠️ اطلب» عندما ينزل الرصيد إلى حد إعادة الطلب أو أقل.</t>
        </is>
      </c>
    </row>
  </sheetData>
  <mergeCells count="2">
    <mergeCell ref="A1:E1"/>
    <mergeCell ref="A24:E24"/>
  </mergeCells>
  <dataValidations count="1">
    <dataValidation sqref="B3:B22" showDropDown="0" showInputMessage="0" showErrorMessage="0" allowBlank="1" type="list">
      <formula1>='قاعدة الفيلامنت'!$I$3:$I$32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8590C"/>
    <outlinePr summaryBelow="1" summaryRight="1"/>
    <pageSetUpPr/>
  </sheetPr>
  <dimension ref="A1:D2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20" customWidth="1" min="4" max="4"/>
  </cols>
  <sheetData>
    <row r="1" ht="34" customHeight="1">
      <c r="A1" s="6" t="inlineStr">
        <is>
          <t>👥  إحصائيات العملاء</t>
        </is>
      </c>
    </row>
    <row r="2" ht="30" customHeight="1">
      <c r="A2" s="39" t="inlineStr">
        <is>
          <t>العميل</t>
        </is>
      </c>
      <c r="B2" s="39" t="inlineStr">
        <is>
          <t>عدد المشاريع</t>
        </is>
      </c>
      <c r="C2" s="39" t="inlineStr">
        <is>
          <t>إجمالي المبيعات (ر.س)</t>
        </is>
      </c>
      <c r="D2" s="39" t="inlineStr">
        <is>
          <t>إجمالي الأرباح (ر.س)</t>
        </is>
      </c>
    </row>
    <row r="3">
      <c r="A3" s="16" t="inlineStr">
        <is>
          <t>عميل 1</t>
        </is>
      </c>
      <c r="B3" s="52">
        <f>IF(A3="","",COUNTIF('سجل المشاريع'!$C$3:$C$52,A3))</f>
        <v/>
      </c>
      <c r="C3" s="26">
        <f>IF(A3="","",SUMIF('سجل المشاريع'!$C$3:$C$52,A3,'سجل المشاريع'!$N$3:$N$52))</f>
        <v/>
      </c>
      <c r="D3" s="26">
        <f>IF(A3="","",SUMIF('سجل المشاريع'!$C$3:$C$52,A3,'سجل المشاريع'!$M$3:$M$52))</f>
        <v/>
      </c>
    </row>
    <row r="4">
      <c r="A4" s="16" t="inlineStr">
        <is>
          <t>عميل 2</t>
        </is>
      </c>
      <c r="B4" s="52">
        <f>IF(A4="","",COUNTIF('سجل المشاريع'!$C$3:$C$52,A4))</f>
        <v/>
      </c>
      <c r="C4" s="26">
        <f>IF(A4="","",SUMIF('سجل المشاريع'!$C$3:$C$52,A4,'سجل المشاريع'!$N$3:$N$52))</f>
        <v/>
      </c>
      <c r="D4" s="26">
        <f>IF(A4="","",SUMIF('سجل المشاريع'!$C$3:$C$52,A4,'سجل المشاريع'!$M$3:$M$52))</f>
        <v/>
      </c>
    </row>
    <row r="5">
      <c r="A5" s="16" t="n"/>
      <c r="B5" s="52">
        <f>IF(A5="","",COUNTIF('سجل المشاريع'!$C$3:$C$52,A5))</f>
        <v/>
      </c>
      <c r="C5" s="26">
        <f>IF(A5="","",SUMIF('سجل المشاريع'!$C$3:$C$52,A5,'سجل المشاريع'!$N$3:$N$52))</f>
        <v/>
      </c>
      <c r="D5" s="26">
        <f>IF(A5="","",SUMIF('سجل المشاريع'!$C$3:$C$52,A5,'سجل المشاريع'!$M$3:$M$52))</f>
        <v/>
      </c>
    </row>
    <row r="6">
      <c r="A6" s="16" t="n"/>
      <c r="B6" s="52">
        <f>IF(A6="","",COUNTIF('سجل المشاريع'!$C$3:$C$52,A6))</f>
        <v/>
      </c>
      <c r="C6" s="26">
        <f>IF(A6="","",SUMIF('سجل المشاريع'!$C$3:$C$52,A6,'سجل المشاريع'!$N$3:$N$52))</f>
        <v/>
      </c>
      <c r="D6" s="26">
        <f>IF(A6="","",SUMIF('سجل المشاريع'!$C$3:$C$52,A6,'سجل المشاريع'!$M$3:$M$52))</f>
        <v/>
      </c>
    </row>
    <row r="7">
      <c r="A7" s="16" t="n"/>
      <c r="B7" s="52">
        <f>IF(A7="","",COUNTIF('سجل المشاريع'!$C$3:$C$52,A7))</f>
        <v/>
      </c>
      <c r="C7" s="26">
        <f>IF(A7="","",SUMIF('سجل المشاريع'!$C$3:$C$52,A7,'سجل المشاريع'!$N$3:$N$52))</f>
        <v/>
      </c>
      <c r="D7" s="26">
        <f>IF(A7="","",SUMIF('سجل المشاريع'!$C$3:$C$52,A7,'سجل المشاريع'!$M$3:$M$52))</f>
        <v/>
      </c>
    </row>
    <row r="8">
      <c r="A8" s="16" t="n"/>
      <c r="B8" s="52">
        <f>IF(A8="","",COUNTIF('سجل المشاريع'!$C$3:$C$52,A8))</f>
        <v/>
      </c>
      <c r="C8" s="26">
        <f>IF(A8="","",SUMIF('سجل المشاريع'!$C$3:$C$52,A8,'سجل المشاريع'!$N$3:$N$52))</f>
        <v/>
      </c>
      <c r="D8" s="26">
        <f>IF(A8="","",SUMIF('سجل المشاريع'!$C$3:$C$52,A8,'سجل المشاريع'!$M$3:$M$52))</f>
        <v/>
      </c>
    </row>
    <row r="9">
      <c r="A9" s="16" t="n"/>
      <c r="B9" s="52">
        <f>IF(A9="","",COUNTIF('سجل المشاريع'!$C$3:$C$52,A9))</f>
        <v/>
      </c>
      <c r="C9" s="26">
        <f>IF(A9="","",SUMIF('سجل المشاريع'!$C$3:$C$52,A9,'سجل المشاريع'!$N$3:$N$52))</f>
        <v/>
      </c>
      <c r="D9" s="26">
        <f>IF(A9="","",SUMIF('سجل المشاريع'!$C$3:$C$52,A9,'سجل المشاريع'!$M$3:$M$52))</f>
        <v/>
      </c>
    </row>
    <row r="10">
      <c r="A10" s="16" t="n"/>
      <c r="B10" s="52">
        <f>IF(A10="","",COUNTIF('سجل المشاريع'!$C$3:$C$52,A10))</f>
        <v/>
      </c>
      <c r="C10" s="26">
        <f>IF(A10="","",SUMIF('سجل المشاريع'!$C$3:$C$52,A10,'سجل المشاريع'!$N$3:$N$52))</f>
        <v/>
      </c>
      <c r="D10" s="26">
        <f>IF(A10="","",SUMIF('سجل المشاريع'!$C$3:$C$52,A10,'سجل المشاريع'!$M$3:$M$52))</f>
        <v/>
      </c>
    </row>
    <row r="11">
      <c r="A11" s="16" t="n"/>
      <c r="B11" s="52">
        <f>IF(A11="","",COUNTIF('سجل المشاريع'!$C$3:$C$52,A11))</f>
        <v/>
      </c>
      <c r="C11" s="26">
        <f>IF(A11="","",SUMIF('سجل المشاريع'!$C$3:$C$52,A11,'سجل المشاريع'!$N$3:$N$52))</f>
        <v/>
      </c>
      <c r="D11" s="26">
        <f>IF(A11="","",SUMIF('سجل المشاريع'!$C$3:$C$52,A11,'سجل المشاريع'!$M$3:$M$52))</f>
        <v/>
      </c>
    </row>
    <row r="12">
      <c r="A12" s="16" t="n"/>
      <c r="B12" s="52">
        <f>IF(A12="","",COUNTIF('سجل المشاريع'!$C$3:$C$52,A12))</f>
        <v/>
      </c>
      <c r="C12" s="26">
        <f>IF(A12="","",SUMIF('سجل المشاريع'!$C$3:$C$52,A12,'سجل المشاريع'!$N$3:$N$52))</f>
        <v/>
      </c>
      <c r="D12" s="26">
        <f>IF(A12="","",SUMIF('سجل المشاريع'!$C$3:$C$52,A12,'سجل المشاريع'!$M$3:$M$52))</f>
        <v/>
      </c>
    </row>
    <row r="13">
      <c r="A13" s="16" t="n"/>
      <c r="B13" s="52">
        <f>IF(A13="","",COUNTIF('سجل المشاريع'!$C$3:$C$52,A13))</f>
        <v/>
      </c>
      <c r="C13" s="26">
        <f>IF(A13="","",SUMIF('سجل المشاريع'!$C$3:$C$52,A13,'سجل المشاريع'!$N$3:$N$52))</f>
        <v/>
      </c>
      <c r="D13" s="26">
        <f>IF(A13="","",SUMIF('سجل المشاريع'!$C$3:$C$52,A13,'سجل المشاريع'!$M$3:$M$52))</f>
        <v/>
      </c>
    </row>
    <row r="14">
      <c r="A14" s="16" t="n"/>
      <c r="B14" s="52">
        <f>IF(A14="","",COUNTIF('سجل المشاريع'!$C$3:$C$52,A14))</f>
        <v/>
      </c>
      <c r="C14" s="26">
        <f>IF(A14="","",SUMIF('سجل المشاريع'!$C$3:$C$52,A14,'سجل المشاريع'!$N$3:$N$52))</f>
        <v/>
      </c>
      <c r="D14" s="26">
        <f>IF(A14="","",SUMIF('سجل المشاريع'!$C$3:$C$52,A14,'سجل المشاريع'!$M$3:$M$52))</f>
        <v/>
      </c>
    </row>
    <row r="15">
      <c r="A15" s="16" t="n"/>
      <c r="B15" s="52">
        <f>IF(A15="","",COUNTIF('سجل المشاريع'!$C$3:$C$52,A15))</f>
        <v/>
      </c>
      <c r="C15" s="26">
        <f>IF(A15="","",SUMIF('سجل المشاريع'!$C$3:$C$52,A15,'سجل المشاريع'!$N$3:$N$52))</f>
        <v/>
      </c>
      <c r="D15" s="26">
        <f>IF(A15="","",SUMIF('سجل المشاريع'!$C$3:$C$52,A15,'سجل المشاريع'!$M$3:$M$52))</f>
        <v/>
      </c>
    </row>
    <row r="16">
      <c r="A16" s="16" t="n"/>
      <c r="B16" s="52">
        <f>IF(A16="","",COUNTIF('سجل المشاريع'!$C$3:$C$52,A16))</f>
        <v/>
      </c>
      <c r="C16" s="26">
        <f>IF(A16="","",SUMIF('سجل المشاريع'!$C$3:$C$52,A16,'سجل المشاريع'!$N$3:$N$52))</f>
        <v/>
      </c>
      <c r="D16" s="26">
        <f>IF(A16="","",SUMIF('سجل المشاريع'!$C$3:$C$52,A16,'سجل المشاريع'!$M$3:$M$52))</f>
        <v/>
      </c>
    </row>
    <row r="17">
      <c r="A17" s="16" t="n"/>
      <c r="B17" s="52">
        <f>IF(A17="","",COUNTIF('سجل المشاريع'!$C$3:$C$52,A17))</f>
        <v/>
      </c>
      <c r="C17" s="26">
        <f>IF(A17="","",SUMIF('سجل المشاريع'!$C$3:$C$52,A17,'سجل المشاريع'!$N$3:$N$52))</f>
        <v/>
      </c>
      <c r="D17" s="26">
        <f>IF(A17="","",SUMIF('سجل المشاريع'!$C$3:$C$52,A17,'سجل المشاريع'!$M$3:$M$52))</f>
        <v/>
      </c>
    </row>
    <row r="18">
      <c r="A18" s="16" t="n"/>
      <c r="B18" s="52">
        <f>IF(A18="","",COUNTIF('سجل المشاريع'!$C$3:$C$52,A18))</f>
        <v/>
      </c>
      <c r="C18" s="26">
        <f>IF(A18="","",SUMIF('سجل المشاريع'!$C$3:$C$52,A18,'سجل المشاريع'!$N$3:$N$52))</f>
        <v/>
      </c>
      <c r="D18" s="26">
        <f>IF(A18="","",SUMIF('سجل المشاريع'!$C$3:$C$52,A18,'سجل المشاريع'!$M$3:$M$52))</f>
        <v/>
      </c>
    </row>
    <row r="19">
      <c r="A19" s="16" t="n"/>
      <c r="B19" s="52">
        <f>IF(A19="","",COUNTIF('سجل المشاريع'!$C$3:$C$52,A19))</f>
        <v/>
      </c>
      <c r="C19" s="26">
        <f>IF(A19="","",SUMIF('سجل المشاريع'!$C$3:$C$52,A19,'سجل المشاريع'!$N$3:$N$52))</f>
        <v/>
      </c>
      <c r="D19" s="26">
        <f>IF(A19="","",SUMIF('سجل المشاريع'!$C$3:$C$52,A19,'سجل المشاريع'!$M$3:$M$52))</f>
        <v/>
      </c>
    </row>
    <row r="20">
      <c r="A20" s="16" t="n"/>
      <c r="B20" s="52">
        <f>IF(A20="","",COUNTIF('سجل المشاريع'!$C$3:$C$52,A20))</f>
        <v/>
      </c>
      <c r="C20" s="26">
        <f>IF(A20="","",SUMIF('سجل المشاريع'!$C$3:$C$52,A20,'سجل المشاريع'!$N$3:$N$52))</f>
        <v/>
      </c>
      <c r="D20" s="26">
        <f>IF(A20="","",SUMIF('سجل المشاريع'!$C$3:$C$52,A20,'سجل المشاريع'!$M$3:$M$52))</f>
        <v/>
      </c>
    </row>
    <row r="21">
      <c r="A21" s="16" t="n"/>
      <c r="B21" s="52">
        <f>IF(A21="","",COUNTIF('سجل المشاريع'!$C$3:$C$52,A21))</f>
        <v/>
      </c>
      <c r="C21" s="26">
        <f>IF(A21="","",SUMIF('سجل المشاريع'!$C$3:$C$52,A21,'سجل المشاريع'!$N$3:$N$52))</f>
        <v/>
      </c>
      <c r="D21" s="26">
        <f>IF(A21="","",SUMIF('سجل المشاريع'!$C$3:$C$52,A21,'سجل المشاريع'!$M$3:$M$52))</f>
        <v/>
      </c>
    </row>
    <row r="22">
      <c r="A22" s="16" t="n"/>
      <c r="B22" s="52">
        <f>IF(A22="","",COUNTIF('سجل المشاريع'!$C$3:$C$52,A22))</f>
        <v/>
      </c>
      <c r="C22" s="26">
        <f>IF(A22="","",SUMIF('سجل المشاريع'!$C$3:$C$52,A22,'سجل المشاريع'!$N$3:$N$52))</f>
        <v/>
      </c>
      <c r="D22" s="26">
        <f>IF(A22="","",SUMIF('سجل المشاريع'!$C$3:$C$52,A22,'سجل المشاريع'!$M$3:$M$52))</f>
        <v/>
      </c>
    </row>
    <row r="24">
      <c r="A24" s="13" t="inlineStr">
        <is>
          <t>اكتب اسم العميل (كما في السجل) لتظهر إحصائياته تلقائيًا.</t>
        </is>
      </c>
    </row>
  </sheetData>
  <mergeCells count="2">
    <mergeCell ref="A1:D1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2026-07-18T17:00:02Z</dcterms:created>
  <dcterms:modified xsi:type="dcterms:W3CDTF">2026-07-18T17:00:03Z</dcterms:modified>
</cp:coreProperties>
</file>